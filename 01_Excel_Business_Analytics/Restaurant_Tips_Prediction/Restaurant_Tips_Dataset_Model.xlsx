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mgww-my.sharepoint.com/personal/karabo_ramalatso_ogilvy_co_za/Documents/Documents/Predictive analytics/"/>
    </mc:Choice>
  </mc:AlternateContent>
  <xr:revisionPtr revIDLastSave="1" documentId="14_{D21D975C-D7DE-4FAE-99AA-DE32906094D5}" xr6:coauthVersionLast="47" xr6:coauthVersionMax="47" xr10:uidLastSave="{5200D030-3601-48D8-A443-AF9E53C5FF39}"/>
  <bookViews>
    <workbookView xWindow="-110" yWindow="-110" windowWidth="19420" windowHeight="10300" activeTab="1" xr2:uid="{E39F1B53-3127-4D6C-88BD-079CCE5E8692}"/>
  </bookViews>
  <sheets>
    <sheet name="Sheet1" sheetId="2" r:id="rId1"/>
    <sheet name="tips" sheetId="1" r:id="rId2"/>
  </sheets>
  <definedNames>
    <definedName name="_xlnm._FilterDatabase" localSheetId="1" hidden="1">tips!$A$1:$G$244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" i="1" l="1" a="1"/>
  <c r="P15" i="1" s="1"/>
  <c r="Q12" i="1" l="1"/>
  <c r="Q10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L179" i="1" s="1"/>
  <c r="M179" i="1" s="1"/>
  <c r="N179" i="1" s="1"/>
  <c r="I180" i="1"/>
  <c r="I181" i="1"/>
  <c r="I182" i="1"/>
  <c r="I183" i="1"/>
  <c r="I184" i="1"/>
  <c r="I185" i="1"/>
  <c r="I186" i="1"/>
  <c r="I187" i="1"/>
  <c r="L187" i="1" s="1"/>
  <c r="M187" i="1" s="1"/>
  <c r="N187" i="1" s="1"/>
  <c r="I188" i="1"/>
  <c r="I189" i="1"/>
  <c r="I190" i="1"/>
  <c r="I191" i="1"/>
  <c r="I192" i="1"/>
  <c r="I193" i="1"/>
  <c r="I194" i="1"/>
  <c r="I195" i="1"/>
  <c r="L195" i="1" s="1"/>
  <c r="M195" i="1" s="1"/>
  <c r="N195" i="1" s="1"/>
  <c r="I196" i="1"/>
  <c r="I197" i="1"/>
  <c r="I198" i="1"/>
  <c r="I199" i="1"/>
  <c r="I200" i="1"/>
  <c r="I201" i="1"/>
  <c r="I202" i="1"/>
  <c r="I203" i="1"/>
  <c r="L203" i="1" s="1"/>
  <c r="M203" i="1" s="1"/>
  <c r="N203" i="1" s="1"/>
  <c r="I204" i="1"/>
  <c r="I205" i="1"/>
  <c r="I206" i="1"/>
  <c r="I207" i="1"/>
  <c r="I208" i="1"/>
  <c r="I209" i="1"/>
  <c r="I210" i="1"/>
  <c r="I211" i="1"/>
  <c r="L211" i="1" s="1"/>
  <c r="M211" i="1" s="1"/>
  <c r="N211" i="1" s="1"/>
  <c r="I212" i="1"/>
  <c r="I213" i="1"/>
  <c r="I214" i="1"/>
  <c r="I215" i="1"/>
  <c r="I216" i="1"/>
  <c r="I217" i="1"/>
  <c r="I218" i="1"/>
  <c r="I219" i="1"/>
  <c r="L219" i="1" s="1"/>
  <c r="M219" i="1" s="1"/>
  <c r="N219" i="1" s="1"/>
  <c r="I220" i="1"/>
  <c r="I221" i="1"/>
  <c r="I222" i="1"/>
  <c r="I223" i="1"/>
  <c r="I224" i="1"/>
  <c r="I225" i="1"/>
  <c r="I226" i="1"/>
  <c r="I227" i="1"/>
  <c r="L227" i="1" s="1"/>
  <c r="M227" i="1" s="1"/>
  <c r="N227" i="1" s="1"/>
  <c r="I228" i="1"/>
  <c r="I229" i="1"/>
  <c r="I230" i="1"/>
  <c r="I231" i="1"/>
  <c r="I232" i="1"/>
  <c r="I233" i="1"/>
  <c r="I234" i="1"/>
  <c r="I235" i="1"/>
  <c r="L235" i="1" s="1"/>
  <c r="M235" i="1" s="1"/>
  <c r="N235" i="1" s="1"/>
  <c r="I236" i="1"/>
  <c r="I237" i="1"/>
  <c r="I238" i="1"/>
  <c r="I239" i="1"/>
  <c r="I240" i="1"/>
  <c r="I241" i="1"/>
  <c r="I242" i="1"/>
  <c r="I243" i="1"/>
  <c r="L243" i="1" s="1"/>
  <c r="M243" i="1" s="1"/>
  <c r="N243" i="1" s="1"/>
  <c r="I244" i="1"/>
  <c r="I2" i="1"/>
  <c r="Q4" i="1" s="1"/>
  <c r="H2" i="1"/>
  <c r="H3" i="1"/>
  <c r="H4" i="1"/>
  <c r="H5" i="1"/>
  <c r="L5" i="1" s="1"/>
  <c r="M5" i="1" s="1"/>
  <c r="N5" i="1" s="1"/>
  <c r="H6" i="1"/>
  <c r="L6" i="1" s="1"/>
  <c r="M6" i="1" s="1"/>
  <c r="N6" i="1" s="1"/>
  <c r="H7" i="1"/>
  <c r="L7" i="1" s="1"/>
  <c r="M7" i="1" s="1"/>
  <c r="N7" i="1" s="1"/>
  <c r="H8" i="1"/>
  <c r="L8" i="1" s="1"/>
  <c r="M8" i="1" s="1"/>
  <c r="N8" i="1" s="1"/>
  <c r="H9" i="1"/>
  <c r="L9" i="1" s="1"/>
  <c r="M9" i="1" s="1"/>
  <c r="N9" i="1" s="1"/>
  <c r="H10" i="1"/>
  <c r="H11" i="1"/>
  <c r="H12" i="1"/>
  <c r="H13" i="1"/>
  <c r="L13" i="1" s="1"/>
  <c r="M13" i="1" s="1"/>
  <c r="N13" i="1" s="1"/>
  <c r="H14" i="1"/>
  <c r="L14" i="1" s="1"/>
  <c r="M14" i="1" s="1"/>
  <c r="N14" i="1" s="1"/>
  <c r="H15" i="1"/>
  <c r="L15" i="1" s="1"/>
  <c r="M15" i="1" s="1"/>
  <c r="N15" i="1" s="1"/>
  <c r="H16" i="1"/>
  <c r="L16" i="1" s="1"/>
  <c r="M16" i="1" s="1"/>
  <c r="N16" i="1" s="1"/>
  <c r="H17" i="1"/>
  <c r="L17" i="1" s="1"/>
  <c r="M17" i="1" s="1"/>
  <c r="N17" i="1" s="1"/>
  <c r="H18" i="1"/>
  <c r="L18" i="1" s="1"/>
  <c r="M18" i="1" s="1"/>
  <c r="N18" i="1" s="1"/>
  <c r="H19" i="1"/>
  <c r="H20" i="1"/>
  <c r="H21" i="1"/>
  <c r="L21" i="1" s="1"/>
  <c r="M21" i="1" s="1"/>
  <c r="N21" i="1" s="1"/>
  <c r="H22" i="1"/>
  <c r="L22" i="1" s="1"/>
  <c r="M22" i="1" s="1"/>
  <c r="N22" i="1" s="1"/>
  <c r="H23" i="1"/>
  <c r="L23" i="1" s="1"/>
  <c r="M23" i="1" s="1"/>
  <c r="N23" i="1" s="1"/>
  <c r="H24" i="1"/>
  <c r="L24" i="1" s="1"/>
  <c r="M24" i="1" s="1"/>
  <c r="N24" i="1" s="1"/>
  <c r="H25" i="1"/>
  <c r="L25" i="1" s="1"/>
  <c r="M25" i="1" s="1"/>
  <c r="N25" i="1" s="1"/>
  <c r="H26" i="1"/>
  <c r="L26" i="1" s="1"/>
  <c r="M26" i="1" s="1"/>
  <c r="N26" i="1" s="1"/>
  <c r="H27" i="1"/>
  <c r="H28" i="1"/>
  <c r="H29" i="1"/>
  <c r="L29" i="1" s="1"/>
  <c r="M29" i="1" s="1"/>
  <c r="N29" i="1" s="1"/>
  <c r="H30" i="1"/>
  <c r="L30" i="1" s="1"/>
  <c r="M30" i="1" s="1"/>
  <c r="N30" i="1" s="1"/>
  <c r="H31" i="1"/>
  <c r="L31" i="1" s="1"/>
  <c r="M31" i="1" s="1"/>
  <c r="N31" i="1" s="1"/>
  <c r="H32" i="1"/>
  <c r="L32" i="1" s="1"/>
  <c r="M32" i="1" s="1"/>
  <c r="N32" i="1" s="1"/>
  <c r="H33" i="1"/>
  <c r="L33" i="1" s="1"/>
  <c r="M33" i="1" s="1"/>
  <c r="N33" i="1" s="1"/>
  <c r="H34" i="1"/>
  <c r="L34" i="1" s="1"/>
  <c r="M34" i="1" s="1"/>
  <c r="N34" i="1" s="1"/>
  <c r="H35" i="1"/>
  <c r="H36" i="1"/>
  <c r="H37" i="1"/>
  <c r="L37" i="1" s="1"/>
  <c r="M37" i="1" s="1"/>
  <c r="N37" i="1" s="1"/>
  <c r="H38" i="1"/>
  <c r="L38" i="1" s="1"/>
  <c r="M38" i="1" s="1"/>
  <c r="N38" i="1" s="1"/>
  <c r="H39" i="1"/>
  <c r="L39" i="1" s="1"/>
  <c r="M39" i="1" s="1"/>
  <c r="N39" i="1" s="1"/>
  <c r="H40" i="1"/>
  <c r="L40" i="1" s="1"/>
  <c r="M40" i="1" s="1"/>
  <c r="N40" i="1" s="1"/>
  <c r="H41" i="1"/>
  <c r="L41" i="1" s="1"/>
  <c r="M41" i="1" s="1"/>
  <c r="N41" i="1" s="1"/>
  <c r="H42" i="1"/>
  <c r="L42" i="1" s="1"/>
  <c r="M42" i="1" s="1"/>
  <c r="N42" i="1" s="1"/>
  <c r="H43" i="1"/>
  <c r="H44" i="1"/>
  <c r="H45" i="1"/>
  <c r="L45" i="1" s="1"/>
  <c r="M45" i="1" s="1"/>
  <c r="N45" i="1" s="1"/>
  <c r="H46" i="1"/>
  <c r="L46" i="1" s="1"/>
  <c r="M46" i="1" s="1"/>
  <c r="N46" i="1" s="1"/>
  <c r="H47" i="1"/>
  <c r="L47" i="1" s="1"/>
  <c r="M47" i="1" s="1"/>
  <c r="N47" i="1" s="1"/>
  <c r="H48" i="1"/>
  <c r="L48" i="1" s="1"/>
  <c r="M48" i="1" s="1"/>
  <c r="N48" i="1" s="1"/>
  <c r="H49" i="1"/>
  <c r="L49" i="1" s="1"/>
  <c r="M49" i="1" s="1"/>
  <c r="N49" i="1" s="1"/>
  <c r="H50" i="1"/>
  <c r="L50" i="1" s="1"/>
  <c r="M50" i="1" s="1"/>
  <c r="N50" i="1" s="1"/>
  <c r="H51" i="1"/>
  <c r="H52" i="1"/>
  <c r="H53" i="1"/>
  <c r="L53" i="1" s="1"/>
  <c r="M53" i="1" s="1"/>
  <c r="N53" i="1" s="1"/>
  <c r="H54" i="1"/>
  <c r="L54" i="1" s="1"/>
  <c r="M54" i="1" s="1"/>
  <c r="N54" i="1" s="1"/>
  <c r="H55" i="1"/>
  <c r="L55" i="1" s="1"/>
  <c r="M55" i="1" s="1"/>
  <c r="N55" i="1" s="1"/>
  <c r="H56" i="1"/>
  <c r="L56" i="1" s="1"/>
  <c r="M56" i="1" s="1"/>
  <c r="N56" i="1" s="1"/>
  <c r="H57" i="1"/>
  <c r="L57" i="1" s="1"/>
  <c r="M57" i="1" s="1"/>
  <c r="N57" i="1" s="1"/>
  <c r="H58" i="1"/>
  <c r="L58" i="1" s="1"/>
  <c r="M58" i="1" s="1"/>
  <c r="N58" i="1" s="1"/>
  <c r="H59" i="1"/>
  <c r="H60" i="1"/>
  <c r="H61" i="1"/>
  <c r="L61" i="1" s="1"/>
  <c r="M61" i="1" s="1"/>
  <c r="N61" i="1" s="1"/>
  <c r="H62" i="1"/>
  <c r="L62" i="1" s="1"/>
  <c r="M62" i="1" s="1"/>
  <c r="N62" i="1" s="1"/>
  <c r="H63" i="1"/>
  <c r="L63" i="1" s="1"/>
  <c r="M63" i="1" s="1"/>
  <c r="N63" i="1" s="1"/>
  <c r="H64" i="1"/>
  <c r="L64" i="1" s="1"/>
  <c r="M64" i="1" s="1"/>
  <c r="N64" i="1" s="1"/>
  <c r="H65" i="1"/>
  <c r="L65" i="1" s="1"/>
  <c r="M65" i="1" s="1"/>
  <c r="N65" i="1" s="1"/>
  <c r="H66" i="1"/>
  <c r="L66" i="1" s="1"/>
  <c r="M66" i="1" s="1"/>
  <c r="N66" i="1" s="1"/>
  <c r="H67" i="1"/>
  <c r="H68" i="1"/>
  <c r="L68" i="1" s="1"/>
  <c r="M68" i="1" s="1"/>
  <c r="N68" i="1" s="1"/>
  <c r="H69" i="1"/>
  <c r="L69" i="1" s="1"/>
  <c r="M69" i="1" s="1"/>
  <c r="N69" i="1" s="1"/>
  <c r="H70" i="1"/>
  <c r="L70" i="1" s="1"/>
  <c r="M70" i="1" s="1"/>
  <c r="N70" i="1" s="1"/>
  <c r="H71" i="1"/>
  <c r="L71" i="1" s="1"/>
  <c r="M71" i="1" s="1"/>
  <c r="N71" i="1" s="1"/>
  <c r="H72" i="1"/>
  <c r="L72" i="1" s="1"/>
  <c r="M72" i="1" s="1"/>
  <c r="N72" i="1" s="1"/>
  <c r="H73" i="1"/>
  <c r="L73" i="1" s="1"/>
  <c r="M73" i="1" s="1"/>
  <c r="N73" i="1" s="1"/>
  <c r="H74" i="1"/>
  <c r="L74" i="1" s="1"/>
  <c r="M74" i="1" s="1"/>
  <c r="N74" i="1" s="1"/>
  <c r="H75" i="1"/>
  <c r="H76" i="1"/>
  <c r="L76" i="1" s="1"/>
  <c r="M76" i="1" s="1"/>
  <c r="N76" i="1" s="1"/>
  <c r="H77" i="1"/>
  <c r="L77" i="1" s="1"/>
  <c r="M77" i="1" s="1"/>
  <c r="N77" i="1" s="1"/>
  <c r="H78" i="1"/>
  <c r="L78" i="1" s="1"/>
  <c r="M78" i="1" s="1"/>
  <c r="N78" i="1" s="1"/>
  <c r="H79" i="1"/>
  <c r="L79" i="1" s="1"/>
  <c r="M79" i="1" s="1"/>
  <c r="N79" i="1" s="1"/>
  <c r="H80" i="1"/>
  <c r="L80" i="1" s="1"/>
  <c r="M80" i="1" s="1"/>
  <c r="N80" i="1" s="1"/>
  <c r="H81" i="1"/>
  <c r="L81" i="1" s="1"/>
  <c r="M81" i="1" s="1"/>
  <c r="N81" i="1" s="1"/>
  <c r="H82" i="1"/>
  <c r="L82" i="1" s="1"/>
  <c r="M82" i="1" s="1"/>
  <c r="N82" i="1" s="1"/>
  <c r="H83" i="1"/>
  <c r="H84" i="1"/>
  <c r="L84" i="1" s="1"/>
  <c r="M84" i="1" s="1"/>
  <c r="N84" i="1" s="1"/>
  <c r="H85" i="1"/>
  <c r="L85" i="1" s="1"/>
  <c r="M85" i="1" s="1"/>
  <c r="N85" i="1" s="1"/>
  <c r="H86" i="1"/>
  <c r="L86" i="1" s="1"/>
  <c r="M86" i="1" s="1"/>
  <c r="N86" i="1" s="1"/>
  <c r="H87" i="1"/>
  <c r="L87" i="1" s="1"/>
  <c r="M87" i="1" s="1"/>
  <c r="N87" i="1" s="1"/>
  <c r="H88" i="1"/>
  <c r="L88" i="1" s="1"/>
  <c r="M88" i="1" s="1"/>
  <c r="N88" i="1" s="1"/>
  <c r="H89" i="1"/>
  <c r="L89" i="1" s="1"/>
  <c r="M89" i="1" s="1"/>
  <c r="N89" i="1" s="1"/>
  <c r="H90" i="1"/>
  <c r="L90" i="1" s="1"/>
  <c r="M90" i="1" s="1"/>
  <c r="N90" i="1" s="1"/>
  <c r="H91" i="1"/>
  <c r="H92" i="1"/>
  <c r="L92" i="1" s="1"/>
  <c r="M92" i="1" s="1"/>
  <c r="N92" i="1" s="1"/>
  <c r="H93" i="1"/>
  <c r="L93" i="1" s="1"/>
  <c r="M93" i="1" s="1"/>
  <c r="N93" i="1" s="1"/>
  <c r="H94" i="1"/>
  <c r="L94" i="1" s="1"/>
  <c r="M94" i="1" s="1"/>
  <c r="N94" i="1" s="1"/>
  <c r="H95" i="1"/>
  <c r="L95" i="1" s="1"/>
  <c r="M95" i="1" s="1"/>
  <c r="N95" i="1" s="1"/>
  <c r="H96" i="1"/>
  <c r="L96" i="1" s="1"/>
  <c r="M96" i="1" s="1"/>
  <c r="N96" i="1" s="1"/>
  <c r="H97" i="1"/>
  <c r="L97" i="1" s="1"/>
  <c r="M97" i="1" s="1"/>
  <c r="N97" i="1" s="1"/>
  <c r="H98" i="1"/>
  <c r="L98" i="1" s="1"/>
  <c r="M98" i="1" s="1"/>
  <c r="N98" i="1" s="1"/>
  <c r="H99" i="1"/>
  <c r="H100" i="1"/>
  <c r="L100" i="1" s="1"/>
  <c r="M100" i="1" s="1"/>
  <c r="N100" i="1" s="1"/>
  <c r="H101" i="1"/>
  <c r="L101" i="1" s="1"/>
  <c r="M101" i="1" s="1"/>
  <c r="N101" i="1" s="1"/>
  <c r="H102" i="1"/>
  <c r="L102" i="1" s="1"/>
  <c r="M102" i="1" s="1"/>
  <c r="N102" i="1" s="1"/>
  <c r="H103" i="1"/>
  <c r="L103" i="1" s="1"/>
  <c r="M103" i="1" s="1"/>
  <c r="N103" i="1" s="1"/>
  <c r="H104" i="1"/>
  <c r="L104" i="1" s="1"/>
  <c r="M104" i="1" s="1"/>
  <c r="N104" i="1" s="1"/>
  <c r="H105" i="1"/>
  <c r="L105" i="1" s="1"/>
  <c r="M105" i="1" s="1"/>
  <c r="N105" i="1" s="1"/>
  <c r="H106" i="1"/>
  <c r="L106" i="1" s="1"/>
  <c r="M106" i="1" s="1"/>
  <c r="N106" i="1" s="1"/>
  <c r="H107" i="1"/>
  <c r="H108" i="1"/>
  <c r="L108" i="1" s="1"/>
  <c r="M108" i="1" s="1"/>
  <c r="N108" i="1" s="1"/>
  <c r="H109" i="1"/>
  <c r="L109" i="1" s="1"/>
  <c r="M109" i="1" s="1"/>
  <c r="N109" i="1" s="1"/>
  <c r="H110" i="1"/>
  <c r="L110" i="1" s="1"/>
  <c r="M110" i="1" s="1"/>
  <c r="N110" i="1" s="1"/>
  <c r="H111" i="1"/>
  <c r="L111" i="1" s="1"/>
  <c r="M111" i="1" s="1"/>
  <c r="N111" i="1" s="1"/>
  <c r="H112" i="1"/>
  <c r="L112" i="1" s="1"/>
  <c r="M112" i="1" s="1"/>
  <c r="N112" i="1" s="1"/>
  <c r="H113" i="1"/>
  <c r="L113" i="1" s="1"/>
  <c r="M113" i="1" s="1"/>
  <c r="N113" i="1" s="1"/>
  <c r="H114" i="1"/>
  <c r="L114" i="1" s="1"/>
  <c r="M114" i="1" s="1"/>
  <c r="N114" i="1" s="1"/>
  <c r="H115" i="1"/>
  <c r="H116" i="1"/>
  <c r="L116" i="1" s="1"/>
  <c r="M116" i="1" s="1"/>
  <c r="N116" i="1" s="1"/>
  <c r="H117" i="1"/>
  <c r="L117" i="1" s="1"/>
  <c r="M117" i="1" s="1"/>
  <c r="N117" i="1" s="1"/>
  <c r="H118" i="1"/>
  <c r="L118" i="1" s="1"/>
  <c r="M118" i="1" s="1"/>
  <c r="N118" i="1" s="1"/>
  <c r="H119" i="1"/>
  <c r="L119" i="1" s="1"/>
  <c r="M119" i="1" s="1"/>
  <c r="N119" i="1" s="1"/>
  <c r="H120" i="1"/>
  <c r="L120" i="1" s="1"/>
  <c r="M120" i="1" s="1"/>
  <c r="N120" i="1" s="1"/>
  <c r="H121" i="1"/>
  <c r="L121" i="1" s="1"/>
  <c r="M121" i="1" s="1"/>
  <c r="N121" i="1" s="1"/>
  <c r="H122" i="1"/>
  <c r="L122" i="1" s="1"/>
  <c r="M122" i="1" s="1"/>
  <c r="N122" i="1" s="1"/>
  <c r="H123" i="1"/>
  <c r="H124" i="1"/>
  <c r="L124" i="1" s="1"/>
  <c r="M124" i="1" s="1"/>
  <c r="N124" i="1" s="1"/>
  <c r="H125" i="1"/>
  <c r="L125" i="1" s="1"/>
  <c r="M125" i="1" s="1"/>
  <c r="N125" i="1" s="1"/>
  <c r="H126" i="1"/>
  <c r="L126" i="1" s="1"/>
  <c r="M126" i="1" s="1"/>
  <c r="N126" i="1" s="1"/>
  <c r="H127" i="1"/>
  <c r="L127" i="1" s="1"/>
  <c r="M127" i="1" s="1"/>
  <c r="N127" i="1" s="1"/>
  <c r="H128" i="1"/>
  <c r="L128" i="1" s="1"/>
  <c r="M128" i="1" s="1"/>
  <c r="N128" i="1" s="1"/>
  <c r="H129" i="1"/>
  <c r="L129" i="1" s="1"/>
  <c r="M129" i="1" s="1"/>
  <c r="N129" i="1" s="1"/>
  <c r="H130" i="1"/>
  <c r="L130" i="1" s="1"/>
  <c r="M130" i="1" s="1"/>
  <c r="N130" i="1" s="1"/>
  <c r="H131" i="1"/>
  <c r="H132" i="1"/>
  <c r="L132" i="1" s="1"/>
  <c r="M132" i="1" s="1"/>
  <c r="N132" i="1" s="1"/>
  <c r="H133" i="1"/>
  <c r="L133" i="1" s="1"/>
  <c r="M133" i="1" s="1"/>
  <c r="N133" i="1" s="1"/>
  <c r="H134" i="1"/>
  <c r="L134" i="1" s="1"/>
  <c r="M134" i="1" s="1"/>
  <c r="N134" i="1" s="1"/>
  <c r="H135" i="1"/>
  <c r="L135" i="1" s="1"/>
  <c r="M135" i="1" s="1"/>
  <c r="N135" i="1" s="1"/>
  <c r="H136" i="1"/>
  <c r="L136" i="1" s="1"/>
  <c r="M136" i="1" s="1"/>
  <c r="N136" i="1" s="1"/>
  <c r="H137" i="1"/>
  <c r="L137" i="1" s="1"/>
  <c r="M137" i="1" s="1"/>
  <c r="N137" i="1" s="1"/>
  <c r="H138" i="1"/>
  <c r="L138" i="1" s="1"/>
  <c r="M138" i="1" s="1"/>
  <c r="N138" i="1" s="1"/>
  <c r="H139" i="1"/>
  <c r="H140" i="1"/>
  <c r="L140" i="1" s="1"/>
  <c r="M140" i="1" s="1"/>
  <c r="N140" i="1" s="1"/>
  <c r="H141" i="1"/>
  <c r="L141" i="1" s="1"/>
  <c r="M141" i="1" s="1"/>
  <c r="N141" i="1" s="1"/>
  <c r="H142" i="1"/>
  <c r="L142" i="1" s="1"/>
  <c r="M142" i="1" s="1"/>
  <c r="N142" i="1" s="1"/>
  <c r="H143" i="1"/>
  <c r="L143" i="1" s="1"/>
  <c r="M143" i="1" s="1"/>
  <c r="N143" i="1" s="1"/>
  <c r="H144" i="1"/>
  <c r="L144" i="1" s="1"/>
  <c r="M144" i="1" s="1"/>
  <c r="N144" i="1" s="1"/>
  <c r="H145" i="1"/>
  <c r="L145" i="1" s="1"/>
  <c r="M145" i="1" s="1"/>
  <c r="N145" i="1" s="1"/>
  <c r="H146" i="1"/>
  <c r="L146" i="1" s="1"/>
  <c r="M146" i="1" s="1"/>
  <c r="N146" i="1" s="1"/>
  <c r="H147" i="1"/>
  <c r="H148" i="1"/>
  <c r="L148" i="1" s="1"/>
  <c r="M148" i="1" s="1"/>
  <c r="N148" i="1" s="1"/>
  <c r="H149" i="1"/>
  <c r="L149" i="1" s="1"/>
  <c r="M149" i="1" s="1"/>
  <c r="N149" i="1" s="1"/>
  <c r="H150" i="1"/>
  <c r="L150" i="1" s="1"/>
  <c r="M150" i="1" s="1"/>
  <c r="N150" i="1" s="1"/>
  <c r="H151" i="1"/>
  <c r="L151" i="1" s="1"/>
  <c r="M151" i="1" s="1"/>
  <c r="N151" i="1" s="1"/>
  <c r="H152" i="1"/>
  <c r="L152" i="1" s="1"/>
  <c r="M152" i="1" s="1"/>
  <c r="N152" i="1" s="1"/>
  <c r="H153" i="1"/>
  <c r="L153" i="1" s="1"/>
  <c r="M153" i="1" s="1"/>
  <c r="N153" i="1" s="1"/>
  <c r="H154" i="1"/>
  <c r="L154" i="1" s="1"/>
  <c r="M154" i="1" s="1"/>
  <c r="N154" i="1" s="1"/>
  <c r="H155" i="1"/>
  <c r="H156" i="1"/>
  <c r="L156" i="1" s="1"/>
  <c r="M156" i="1" s="1"/>
  <c r="N156" i="1" s="1"/>
  <c r="H157" i="1"/>
  <c r="L157" i="1" s="1"/>
  <c r="M157" i="1" s="1"/>
  <c r="N157" i="1" s="1"/>
  <c r="H158" i="1"/>
  <c r="L158" i="1" s="1"/>
  <c r="M158" i="1" s="1"/>
  <c r="N158" i="1" s="1"/>
  <c r="H159" i="1"/>
  <c r="L159" i="1" s="1"/>
  <c r="M159" i="1" s="1"/>
  <c r="N159" i="1" s="1"/>
  <c r="H160" i="1"/>
  <c r="L160" i="1" s="1"/>
  <c r="M160" i="1" s="1"/>
  <c r="N160" i="1" s="1"/>
  <c r="H161" i="1"/>
  <c r="L161" i="1" s="1"/>
  <c r="M161" i="1" s="1"/>
  <c r="N161" i="1" s="1"/>
  <c r="H162" i="1"/>
  <c r="L162" i="1" s="1"/>
  <c r="M162" i="1" s="1"/>
  <c r="N162" i="1" s="1"/>
  <c r="H163" i="1"/>
  <c r="H164" i="1"/>
  <c r="L164" i="1" s="1"/>
  <c r="M164" i="1" s="1"/>
  <c r="N164" i="1" s="1"/>
  <c r="H165" i="1"/>
  <c r="L165" i="1" s="1"/>
  <c r="M165" i="1" s="1"/>
  <c r="N165" i="1" s="1"/>
  <c r="H166" i="1"/>
  <c r="L166" i="1" s="1"/>
  <c r="M166" i="1" s="1"/>
  <c r="N166" i="1" s="1"/>
  <c r="H167" i="1"/>
  <c r="L167" i="1" s="1"/>
  <c r="M167" i="1" s="1"/>
  <c r="N167" i="1" s="1"/>
  <c r="H168" i="1"/>
  <c r="L168" i="1" s="1"/>
  <c r="M168" i="1" s="1"/>
  <c r="N168" i="1" s="1"/>
  <c r="H169" i="1"/>
  <c r="L169" i="1" s="1"/>
  <c r="M169" i="1" s="1"/>
  <c r="N169" i="1" s="1"/>
  <c r="H170" i="1"/>
  <c r="L170" i="1" s="1"/>
  <c r="M170" i="1" s="1"/>
  <c r="N170" i="1" s="1"/>
  <c r="H171" i="1"/>
  <c r="H172" i="1"/>
  <c r="L172" i="1" s="1"/>
  <c r="M172" i="1" s="1"/>
  <c r="N172" i="1" s="1"/>
  <c r="H173" i="1"/>
  <c r="L173" i="1" s="1"/>
  <c r="M173" i="1" s="1"/>
  <c r="N173" i="1" s="1"/>
  <c r="H174" i="1"/>
  <c r="L174" i="1" s="1"/>
  <c r="M174" i="1" s="1"/>
  <c r="N174" i="1" s="1"/>
  <c r="H175" i="1"/>
  <c r="L175" i="1" s="1"/>
  <c r="M175" i="1" s="1"/>
  <c r="N175" i="1" s="1"/>
  <c r="H176" i="1"/>
  <c r="L176" i="1" s="1"/>
  <c r="M176" i="1" s="1"/>
  <c r="N176" i="1" s="1"/>
  <c r="H177" i="1"/>
  <c r="L177" i="1" s="1"/>
  <c r="M177" i="1" s="1"/>
  <c r="N177" i="1" s="1"/>
  <c r="H178" i="1"/>
  <c r="L178" i="1" s="1"/>
  <c r="M178" i="1" s="1"/>
  <c r="N178" i="1" s="1"/>
  <c r="H179" i="1"/>
  <c r="H180" i="1"/>
  <c r="L180" i="1" s="1"/>
  <c r="M180" i="1" s="1"/>
  <c r="N180" i="1" s="1"/>
  <c r="H181" i="1"/>
  <c r="L181" i="1" s="1"/>
  <c r="M181" i="1" s="1"/>
  <c r="N181" i="1" s="1"/>
  <c r="H182" i="1"/>
  <c r="L182" i="1" s="1"/>
  <c r="M182" i="1" s="1"/>
  <c r="N182" i="1" s="1"/>
  <c r="H183" i="1"/>
  <c r="L183" i="1" s="1"/>
  <c r="M183" i="1" s="1"/>
  <c r="N183" i="1" s="1"/>
  <c r="H184" i="1"/>
  <c r="L184" i="1" s="1"/>
  <c r="M184" i="1" s="1"/>
  <c r="N184" i="1" s="1"/>
  <c r="H185" i="1"/>
  <c r="L185" i="1" s="1"/>
  <c r="M185" i="1" s="1"/>
  <c r="N185" i="1" s="1"/>
  <c r="H186" i="1"/>
  <c r="L186" i="1" s="1"/>
  <c r="M186" i="1" s="1"/>
  <c r="N186" i="1" s="1"/>
  <c r="H187" i="1"/>
  <c r="H188" i="1"/>
  <c r="L188" i="1" s="1"/>
  <c r="M188" i="1" s="1"/>
  <c r="N188" i="1" s="1"/>
  <c r="H189" i="1"/>
  <c r="L189" i="1" s="1"/>
  <c r="M189" i="1" s="1"/>
  <c r="N189" i="1" s="1"/>
  <c r="H190" i="1"/>
  <c r="L190" i="1" s="1"/>
  <c r="M190" i="1" s="1"/>
  <c r="N190" i="1" s="1"/>
  <c r="H191" i="1"/>
  <c r="L191" i="1" s="1"/>
  <c r="M191" i="1" s="1"/>
  <c r="N191" i="1" s="1"/>
  <c r="H192" i="1"/>
  <c r="L192" i="1" s="1"/>
  <c r="M192" i="1" s="1"/>
  <c r="N192" i="1" s="1"/>
  <c r="H193" i="1"/>
  <c r="L193" i="1" s="1"/>
  <c r="M193" i="1" s="1"/>
  <c r="N193" i="1" s="1"/>
  <c r="H194" i="1"/>
  <c r="L194" i="1" s="1"/>
  <c r="M194" i="1" s="1"/>
  <c r="N194" i="1" s="1"/>
  <c r="H195" i="1"/>
  <c r="H196" i="1"/>
  <c r="L196" i="1" s="1"/>
  <c r="M196" i="1" s="1"/>
  <c r="N196" i="1" s="1"/>
  <c r="H197" i="1"/>
  <c r="H198" i="1"/>
  <c r="L198" i="1" s="1"/>
  <c r="M198" i="1" s="1"/>
  <c r="N198" i="1" s="1"/>
  <c r="H199" i="1"/>
  <c r="L199" i="1" s="1"/>
  <c r="M199" i="1" s="1"/>
  <c r="N199" i="1" s="1"/>
  <c r="H200" i="1"/>
  <c r="L200" i="1" s="1"/>
  <c r="M200" i="1" s="1"/>
  <c r="N200" i="1" s="1"/>
  <c r="H201" i="1"/>
  <c r="L201" i="1" s="1"/>
  <c r="M201" i="1" s="1"/>
  <c r="N201" i="1" s="1"/>
  <c r="H202" i="1"/>
  <c r="L202" i="1" s="1"/>
  <c r="M202" i="1" s="1"/>
  <c r="N202" i="1" s="1"/>
  <c r="H203" i="1"/>
  <c r="H204" i="1"/>
  <c r="L204" i="1" s="1"/>
  <c r="M204" i="1" s="1"/>
  <c r="N204" i="1" s="1"/>
  <c r="H205" i="1"/>
  <c r="H206" i="1"/>
  <c r="L206" i="1" s="1"/>
  <c r="M206" i="1" s="1"/>
  <c r="N206" i="1" s="1"/>
  <c r="H207" i="1"/>
  <c r="L207" i="1" s="1"/>
  <c r="M207" i="1" s="1"/>
  <c r="N207" i="1" s="1"/>
  <c r="H208" i="1"/>
  <c r="L208" i="1" s="1"/>
  <c r="M208" i="1" s="1"/>
  <c r="N208" i="1" s="1"/>
  <c r="H209" i="1"/>
  <c r="L209" i="1" s="1"/>
  <c r="M209" i="1" s="1"/>
  <c r="N209" i="1" s="1"/>
  <c r="H210" i="1"/>
  <c r="L210" i="1" s="1"/>
  <c r="M210" i="1" s="1"/>
  <c r="N210" i="1" s="1"/>
  <c r="H211" i="1"/>
  <c r="H212" i="1"/>
  <c r="L212" i="1" s="1"/>
  <c r="M212" i="1" s="1"/>
  <c r="N212" i="1" s="1"/>
  <c r="H213" i="1"/>
  <c r="H214" i="1"/>
  <c r="L214" i="1" s="1"/>
  <c r="M214" i="1" s="1"/>
  <c r="N214" i="1" s="1"/>
  <c r="H215" i="1"/>
  <c r="L215" i="1" s="1"/>
  <c r="M215" i="1" s="1"/>
  <c r="N215" i="1" s="1"/>
  <c r="H216" i="1"/>
  <c r="L216" i="1" s="1"/>
  <c r="M216" i="1" s="1"/>
  <c r="N216" i="1" s="1"/>
  <c r="H217" i="1"/>
  <c r="L217" i="1" s="1"/>
  <c r="M217" i="1" s="1"/>
  <c r="N217" i="1" s="1"/>
  <c r="H218" i="1"/>
  <c r="L218" i="1" s="1"/>
  <c r="M218" i="1" s="1"/>
  <c r="N218" i="1" s="1"/>
  <c r="H219" i="1"/>
  <c r="H220" i="1"/>
  <c r="L220" i="1" s="1"/>
  <c r="M220" i="1" s="1"/>
  <c r="N220" i="1" s="1"/>
  <c r="H221" i="1"/>
  <c r="H222" i="1"/>
  <c r="L222" i="1" s="1"/>
  <c r="M222" i="1" s="1"/>
  <c r="N222" i="1" s="1"/>
  <c r="H223" i="1"/>
  <c r="L223" i="1" s="1"/>
  <c r="M223" i="1" s="1"/>
  <c r="N223" i="1" s="1"/>
  <c r="H224" i="1"/>
  <c r="L224" i="1" s="1"/>
  <c r="M224" i="1" s="1"/>
  <c r="N224" i="1" s="1"/>
  <c r="H225" i="1"/>
  <c r="L225" i="1" s="1"/>
  <c r="M225" i="1" s="1"/>
  <c r="N225" i="1" s="1"/>
  <c r="H226" i="1"/>
  <c r="L226" i="1" s="1"/>
  <c r="M226" i="1" s="1"/>
  <c r="N226" i="1" s="1"/>
  <c r="H227" i="1"/>
  <c r="H228" i="1"/>
  <c r="L228" i="1" s="1"/>
  <c r="M228" i="1" s="1"/>
  <c r="N228" i="1" s="1"/>
  <c r="H229" i="1"/>
  <c r="H230" i="1"/>
  <c r="L230" i="1" s="1"/>
  <c r="M230" i="1" s="1"/>
  <c r="N230" i="1" s="1"/>
  <c r="H231" i="1"/>
  <c r="L231" i="1" s="1"/>
  <c r="M231" i="1" s="1"/>
  <c r="N231" i="1" s="1"/>
  <c r="H232" i="1"/>
  <c r="L232" i="1" s="1"/>
  <c r="M232" i="1" s="1"/>
  <c r="N232" i="1" s="1"/>
  <c r="H233" i="1"/>
  <c r="L233" i="1" s="1"/>
  <c r="M233" i="1" s="1"/>
  <c r="N233" i="1" s="1"/>
  <c r="H234" i="1"/>
  <c r="L234" i="1" s="1"/>
  <c r="M234" i="1" s="1"/>
  <c r="N234" i="1" s="1"/>
  <c r="H235" i="1"/>
  <c r="H236" i="1"/>
  <c r="L236" i="1" s="1"/>
  <c r="M236" i="1" s="1"/>
  <c r="N236" i="1" s="1"/>
  <c r="H237" i="1"/>
  <c r="H238" i="1"/>
  <c r="L238" i="1" s="1"/>
  <c r="M238" i="1" s="1"/>
  <c r="N238" i="1" s="1"/>
  <c r="H239" i="1"/>
  <c r="L239" i="1" s="1"/>
  <c r="M239" i="1" s="1"/>
  <c r="N239" i="1" s="1"/>
  <c r="H240" i="1"/>
  <c r="L240" i="1" s="1"/>
  <c r="M240" i="1" s="1"/>
  <c r="N240" i="1" s="1"/>
  <c r="H241" i="1"/>
  <c r="L241" i="1" s="1"/>
  <c r="M241" i="1" s="1"/>
  <c r="N241" i="1" s="1"/>
  <c r="H242" i="1"/>
  <c r="L242" i="1" s="1"/>
  <c r="M242" i="1" s="1"/>
  <c r="N242" i="1" s="1"/>
  <c r="H243" i="1"/>
  <c r="H244" i="1"/>
  <c r="L244" i="1" s="1"/>
  <c r="M244" i="1" s="1"/>
  <c r="N244" i="1" s="1"/>
  <c r="L10" i="1" l="1"/>
  <c r="M10" i="1" s="1"/>
  <c r="N10" i="1" s="1"/>
  <c r="L171" i="1"/>
  <c r="M171" i="1" s="1"/>
  <c r="N171" i="1" s="1"/>
  <c r="L2" i="1"/>
  <c r="M2" i="1" s="1"/>
  <c r="N2" i="1" s="1"/>
  <c r="Q6" i="1"/>
  <c r="L229" i="1"/>
  <c r="M229" i="1" s="1"/>
  <c r="N229" i="1" s="1"/>
  <c r="L221" i="1"/>
  <c r="M221" i="1" s="1"/>
  <c r="N221" i="1" s="1"/>
  <c r="L213" i="1"/>
  <c r="M213" i="1" s="1"/>
  <c r="N213" i="1" s="1"/>
  <c r="L205" i="1"/>
  <c r="M205" i="1" s="1"/>
  <c r="N205" i="1" s="1"/>
  <c r="L197" i="1"/>
  <c r="M197" i="1" s="1"/>
  <c r="N197" i="1" s="1"/>
  <c r="L60" i="1"/>
  <c r="M60" i="1" s="1"/>
  <c r="N60" i="1" s="1"/>
  <c r="L52" i="1"/>
  <c r="M52" i="1" s="1"/>
  <c r="N52" i="1" s="1"/>
  <c r="L44" i="1"/>
  <c r="M44" i="1" s="1"/>
  <c r="N44" i="1" s="1"/>
  <c r="L36" i="1"/>
  <c r="M36" i="1" s="1"/>
  <c r="N36" i="1" s="1"/>
  <c r="L28" i="1"/>
  <c r="M28" i="1" s="1"/>
  <c r="N28" i="1" s="1"/>
  <c r="L20" i="1"/>
  <c r="M20" i="1" s="1"/>
  <c r="N20" i="1" s="1"/>
  <c r="L12" i="1"/>
  <c r="M12" i="1" s="1"/>
  <c r="N12" i="1" s="1"/>
  <c r="L237" i="1"/>
  <c r="M237" i="1" s="1"/>
  <c r="N237" i="1" s="1"/>
  <c r="L3" i="1"/>
  <c r="M3" i="1" s="1"/>
  <c r="N3" i="1" s="1"/>
  <c r="L163" i="1"/>
  <c r="M163" i="1" s="1"/>
  <c r="N163" i="1" s="1"/>
  <c r="L155" i="1"/>
  <c r="M155" i="1" s="1"/>
  <c r="N155" i="1" s="1"/>
  <c r="L147" i="1"/>
  <c r="M147" i="1" s="1"/>
  <c r="N147" i="1" s="1"/>
  <c r="L139" i="1"/>
  <c r="M139" i="1" s="1"/>
  <c r="N139" i="1" s="1"/>
  <c r="L131" i="1"/>
  <c r="M131" i="1" s="1"/>
  <c r="N131" i="1" s="1"/>
  <c r="L123" i="1"/>
  <c r="M123" i="1" s="1"/>
  <c r="N123" i="1" s="1"/>
  <c r="L115" i="1"/>
  <c r="M115" i="1" s="1"/>
  <c r="N115" i="1" s="1"/>
  <c r="L107" i="1"/>
  <c r="M107" i="1" s="1"/>
  <c r="N107" i="1" s="1"/>
  <c r="L99" i="1"/>
  <c r="M99" i="1" s="1"/>
  <c r="N99" i="1" s="1"/>
  <c r="L91" i="1"/>
  <c r="M91" i="1" s="1"/>
  <c r="N91" i="1" s="1"/>
  <c r="L83" i="1"/>
  <c r="M83" i="1" s="1"/>
  <c r="N83" i="1" s="1"/>
  <c r="L75" i="1"/>
  <c r="M75" i="1" s="1"/>
  <c r="N75" i="1" s="1"/>
  <c r="L67" i="1"/>
  <c r="M67" i="1" s="1"/>
  <c r="N67" i="1" s="1"/>
  <c r="L59" i="1"/>
  <c r="M59" i="1" s="1"/>
  <c r="N59" i="1" s="1"/>
  <c r="L51" i="1"/>
  <c r="M51" i="1" s="1"/>
  <c r="N51" i="1" s="1"/>
  <c r="L43" i="1"/>
  <c r="M43" i="1" s="1"/>
  <c r="N43" i="1" s="1"/>
  <c r="L35" i="1"/>
  <c r="M35" i="1" s="1"/>
  <c r="N35" i="1" s="1"/>
  <c r="L27" i="1"/>
  <c r="M27" i="1" s="1"/>
  <c r="N27" i="1" s="1"/>
  <c r="L19" i="1"/>
  <c r="M19" i="1" s="1"/>
  <c r="N19" i="1" s="1"/>
  <c r="L11" i="1"/>
  <c r="M11" i="1" s="1"/>
  <c r="N11" i="1" s="1"/>
  <c r="L4" i="1"/>
  <c r="M4" i="1" s="1"/>
  <c r="N4" i="1" s="1"/>
  <c r="Q8" i="1"/>
  <c r="Q2" i="1"/>
  <c r="O6" i="1" l="1"/>
  <c r="O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<sst xmlns="http://schemas.openxmlformats.org/spreadsheetml/2006/main" count="1040" uniqueCount="66">
  <si>
    <t>sex</t>
  </si>
  <si>
    <t>smoker</t>
  </si>
  <si>
    <t>day</t>
  </si>
  <si>
    <t>time</t>
  </si>
  <si>
    <t>size</t>
  </si>
  <si>
    <t>total_bill</t>
  </si>
  <si>
    <t>tip</t>
  </si>
  <si>
    <t>Female</t>
  </si>
  <si>
    <t>No</t>
  </si>
  <si>
    <t>Sun</t>
  </si>
  <si>
    <t>Dinner</t>
  </si>
  <si>
    <t>Male</t>
  </si>
  <si>
    <t xml:space="preserve">sex </t>
  </si>
  <si>
    <t>Gender of the customer</t>
  </si>
  <si>
    <t>Indicates if the customer is a smoker or not</t>
  </si>
  <si>
    <t>Day of the restaurant visit</t>
  </si>
  <si>
    <t>Indicates whether the tip was for lunch or dinner</t>
  </si>
  <si>
    <t>Number of members dining</t>
  </si>
  <si>
    <t>total bill</t>
  </si>
  <si>
    <t>Bill amount in USD</t>
  </si>
  <si>
    <t>Tip amount in USD</t>
  </si>
  <si>
    <t>Sat</t>
  </si>
  <si>
    <t>Yes</t>
  </si>
  <si>
    <t>Thur</t>
  </si>
  <si>
    <t>Lunch</t>
  </si>
  <si>
    <t>Fri</t>
  </si>
  <si>
    <t>sex_num</t>
  </si>
  <si>
    <t>smoker_num</t>
  </si>
  <si>
    <t>day_num</t>
  </si>
  <si>
    <t>time_num</t>
  </si>
  <si>
    <t>sex_correl</t>
  </si>
  <si>
    <t>smoker_correl</t>
  </si>
  <si>
    <t xml:space="preserve">day_correl </t>
  </si>
  <si>
    <t>time_correl</t>
  </si>
  <si>
    <t>size_correl</t>
  </si>
  <si>
    <t>total_bill_correl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</si>
  <si>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</si>
  <si>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</si>
  <si>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</si>
  <si>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</si>
  <si>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</si>
  <si>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</si>
  <si>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</si>
  <si>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</si>
  <si>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</si>
  <si>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</si>
  <si>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</si>
  <si>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</si>
  <si>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</si>
  <si>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</si>
  <si>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</si>
  <si>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</si>
  <si>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</si>
  <si>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</si>
  <si>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</si>
  <si>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</si>
  <si>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</si>
  <si>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</si>
  <si>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95,0%</t>
  </si>
  <si>
    <t>Upper 95,0%</t>
  </si>
  <si>
    <t>predicted_tip</t>
  </si>
  <si>
    <t>Error</t>
  </si>
  <si>
    <t>Squared_error</t>
  </si>
  <si>
    <t>MSE</t>
  </si>
  <si>
    <t>RMSE</t>
  </si>
  <si>
    <t>Predicted Tip = Intercept + (Size_Coefficient * size) + (Total_Bill_Coefficient * total_bill) + (Sex_Coefficient * sex_num) + (Smoker_Coefficient * smoker_num) + (Day_Coefficient * day_num) + (Time_Coefficient * time_num)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</si>
</sst>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nsolas"/>
      <family val="3"/>
    </font>
    <font>
      <i/>
      <sz val="11"/>
      <color theme="1"/>
      <name val="Calibri"/>
      <family val="2"/>
      <scheme val="minor"/>
    </font>
    <font>
      <b/>
      <sz val="7"/>
      <color theme="1"/>
      <name val="Inte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9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2" applyNumberFormat="0" applyAlignment="0" applyProtection="0"/>
    <xf numFmtId="0" fontId="5" fillId="6" borderId="3" applyNumberFormat="0" applyAlignment="0" applyProtection="0"/>
    <xf numFmtId="0" fontId="6" fillId="6" borderId="2" applyNumberFormat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8" fillId="0" borderId="0" xfId="0" applyFont="1"/>
    <xf numFmtId="0" fontId="7" fillId="7" borderId="0" xfId="7"/>
    <xf numFmtId="0" fontId="0" fillId="0" borderId="4" xfId="0" applyBorder="1"/>
    <xf numFmtId="0" fontId="9" fillId="0" borderId="5" xfId="0" applyFont="1" applyBorder="1" applyAlignment="1">
      <alignment horizontal="center"/>
    </xf>
    <xf numFmtId="0" fontId="9" fillId="0" borderId="5" xfId="0" applyFont="1" applyBorder="1" applyAlignment="1">
      <alignment horizontal="centerContinuous"/>
    </xf>
    <xf numFmtId="0" fontId="1" fillId="2" borderId="0" xfId="1"/>
    <xf numFmtId="0" fontId="2" fillId="3" borderId="0" xfId="2"/>
    <xf numFmtId="0" fontId="3" fillId="4" borderId="0" xfId="3"/>
    <xf numFmtId="0" fontId="4" fillId="5" borderId="2" xfId="4"/>
    <xf numFmtId="0" fontId="7" fillId="8" borderId="0" xfId="8"/>
    <xf numFmtId="0" fontId="5" fillId="6" borderId="3" xfId="5"/>
    <xf numFmtId="2" fontId="0" fillId="0" borderId="0" xfId="0" applyNumberFormat="1"/>
    <xf numFmtId="2" fontId="5" fillId="6" borderId="3" xfId="5" applyNumberFormat="1"/>
    <xf numFmtId="2" fontId="6" fillId="6" borderId="2" xfId="6" applyNumberFormat="1"/>
    <xf numFmtId="0" fontId="10" fillId="0" borderId="0" xfId="0" applyFont="1" applyAlignment="1">
      <alignment vertical="center"/>
    </xf>
    <xf numFmtId="0" fontId="0" fillId="0" borderId="0" xfId="0" quotePrefix="1"/>
  </cellXfs>
  <cellStyles count="9">
    <cellStyle name="Accent1" xfId="7" builtinId="29"/>
    <cellStyle name="Accent6" xfId="8" builtinId="49"/>
    <cellStyle name="Bad" xfId="2" builtinId="27"/>
    <cellStyle name="Calculation" xfId="6" builtinId="22"/>
    <cellStyle name="Good" xfId="1" builtinId="26"/>
    <cellStyle name="Input" xfId="4" builtinId="20"/>
    <cellStyle name="Neutral" xfId="3" builtinId="28"/>
    <cellStyle name="Normal" xfId="0" builtinId="0"/>
    <cellStyle name="Output" xfId="5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A0DEE-5CE5-42EB-B53A-891C8B3A3ECA}">
  <dimension ref="A1:I23"/>
  <sheetViews>
    <sheetView zoomScale="80" zoomScaleNormal="80" workbookViewId="0">
      <selection activeCell="F3" sqref="F3"/>
    </sheetView>
  </sheetViews>
  <sheetFormatPr defaultRowHeight="14.5"/>
  <cols>
    <col min="1" max="1" width="13.08984375" customWidth="1"/>
    <col min="2" max="2" width="14.7265625" customWidth="1"/>
    <col min="3" max="3" width="11.6328125" customWidth="1"/>
    <col min="6" max="6" width="11.1796875" customWidth="1"/>
    <col min="7" max="7" width="11.81640625" customWidth="1"/>
    <col min="8" max="8" width="10.36328125" customWidth="1"/>
    <col min="9" max="9" width="16.36328125" customWidth="1"/>
  </cols>
  <sheetData>
    <row r="1" spans="1:9">
      <c r="A1" t="s">
        <v>36</v>
      </c>
    </row>
    <row r="2" spans="1:9" ht="15" thickBot="1"/>
    <row r="3" spans="1:9">
      <c r="A3" s="6" t="s">
        <v>37</v>
      </c>
      <c r="B3" s="6"/>
    </row>
    <row r="4" spans="1:9">
      <c r="A4" t="s">
        <v>38</v>
      </c>
      <c r="B4">
        <v>0.68422646104293572</v>
      </c>
    </row>
    <row r="5" spans="1:9">
      <c r="A5" t="s">
        <v>39</v>
      </c>
      <c r="B5">
        <v>0.46816584999133998</v>
      </c>
    </row>
    <row r="6" spans="1:9">
      <c r="A6" t="s">
        <v>40</v>
      </c>
      <c r="B6">
        <v>0.45464464278772998</v>
      </c>
    </row>
    <row r="7" spans="1:9">
      <c r="A7" t="s">
        <v>41</v>
      </c>
      <c r="B7">
        <v>1.0227987864680839</v>
      </c>
    </row>
    <row r="8" spans="1:9" ht="15" thickBot="1">
      <c r="A8" s="4" t="s">
        <v>42</v>
      </c>
      <c r="B8" s="4">
        <v>243</v>
      </c>
    </row>
    <row r="10" spans="1:9" ht="15" thickBot="1">
      <c r="A10" t="s">
        <v>43</v>
      </c>
    </row>
    <row r="11" spans="1:9">
      <c r="A11" s="5"/>
      <c r="B11" s="5" t="s">
        <v>48</v>
      </c>
      <c r="C11" s="5" t="s">
        <v>49</v>
      </c>
      <c r="D11" s="5" t="s">
        <v>50</v>
      </c>
      <c r="E11" s="5" t="s">
        <v>51</v>
      </c>
      <c r="F11" s="5" t="s">
        <v>52</v>
      </c>
    </row>
    <row r="12" spans="1:9">
      <c r="A12" t="s">
        <v>44</v>
      </c>
      <c r="B12">
        <v>6</v>
      </c>
      <c r="C12">
        <v>217.32811924412198</v>
      </c>
      <c r="D12">
        <v>36.221353207353665</v>
      </c>
      <c r="E12">
        <v>34.624559992420309</v>
      </c>
      <c r="F12">
        <v>6.9884727907758078E-30</v>
      </c>
    </row>
    <row r="13" spans="1:9">
      <c r="A13" t="s">
        <v>45</v>
      </c>
      <c r="B13">
        <v>236</v>
      </c>
      <c r="C13">
        <v>246.88369639373809</v>
      </c>
      <c r="D13">
        <v>1.0461173576005851</v>
      </c>
    </row>
    <row r="14" spans="1:9" ht="15" thickBot="1">
      <c r="A14" s="4" t="s">
        <v>46</v>
      </c>
      <c r="B14" s="4">
        <v>242</v>
      </c>
      <c r="C14" s="4">
        <v>464.21181563786007</v>
      </c>
      <c r="D14" s="4"/>
      <c r="E14" s="4"/>
      <c r="F14" s="4"/>
    </row>
    <row r="15" spans="1:9" ht="15" thickBot="1"/>
    <row r="16" spans="1:9">
      <c r="A16" s="5"/>
      <c r="B16" s="5" t="s">
        <v>53</v>
      </c>
      <c r="C16" s="5" t="s">
        <v>41</v>
      </c>
      <c r="D16" s="5" t="s">
        <v>54</v>
      </c>
      <c r="E16" s="5" t="s">
        <v>55</v>
      </c>
      <c r="F16" s="5" t="s">
        <v>56</v>
      </c>
      <c r="G16" s="5" t="s">
        <v>57</v>
      </c>
      <c r="H16" s="5" t="s">
        <v>58</v>
      </c>
      <c r="I16" s="5" t="s">
        <v>59</v>
      </c>
    </row>
    <row r="17" spans="1:9">
      <c r="A17" t="s">
        <v>47</v>
      </c>
      <c r="B17">
        <v>0.63844843061544421</v>
      </c>
      <c r="C17">
        <v>0.26895529541155466</v>
      </c>
      <c r="D17">
        <v>2.3738087388779321</v>
      </c>
      <c r="E17">
        <v>1.8407094097061004E-2</v>
      </c>
      <c r="F17">
        <v>0.10858851815885062</v>
      </c>
      <c r="G17">
        <v>1.1683083430720378</v>
      </c>
      <c r="H17">
        <v>0.10858851815885062</v>
      </c>
      <c r="I17">
        <v>1.1683083430720378</v>
      </c>
    </row>
    <row r="18" spans="1:9">
      <c r="A18" t="s">
        <v>4</v>
      </c>
      <c r="B18">
        <v>0.17496437054700811</v>
      </c>
      <c r="C18">
        <v>8.9368964901146986E-2</v>
      </c>
      <c r="D18">
        <v>1.9577755067493523</v>
      </c>
      <c r="E18">
        <v>5.1434839462502886E-2</v>
      </c>
      <c r="F18">
        <v>-1.0984649007886871E-3</v>
      </c>
      <c r="G18">
        <v>0.35102720599480491</v>
      </c>
      <c r="H18">
        <v>-1.0984649007886871E-3</v>
      </c>
      <c r="I18">
        <v>0.35102720599480491</v>
      </c>
    </row>
    <row r="19" spans="1:9">
      <c r="A19" t="s">
        <v>5</v>
      </c>
      <c r="B19">
        <v>9.4263518607442878E-2</v>
      </c>
      <c r="C19">
        <v>9.5613713006104106E-3</v>
      </c>
      <c r="D19">
        <v>9.8587865321603996</v>
      </c>
      <c r="E19">
        <v>2.0105695796112553E-19</v>
      </c>
      <c r="F19">
        <v>7.5426977937908368E-2</v>
      </c>
      <c r="G19">
        <v>0.11310005927697739</v>
      </c>
      <c r="H19">
        <v>7.5426977937908368E-2</v>
      </c>
      <c r="I19">
        <v>0.11310005927697739</v>
      </c>
    </row>
    <row r="20" spans="1:9">
      <c r="A20" t="s">
        <v>26</v>
      </c>
      <c r="B20">
        <v>3.6632514766371291E-2</v>
      </c>
      <c r="C20">
        <v>0.14164817734611235</v>
      </c>
      <c r="D20">
        <v>0.25861620991324885</v>
      </c>
      <c r="E20">
        <v>0.79615678535512546</v>
      </c>
      <c r="F20">
        <v>-0.2424238642255358</v>
      </c>
      <c r="G20">
        <v>0.31568889375827841</v>
      </c>
      <c r="H20">
        <v>-0.2424238642255358</v>
      </c>
      <c r="I20">
        <v>0.31568889375827841</v>
      </c>
    </row>
    <row r="21" spans="1:9">
      <c r="A21" t="s">
        <v>27</v>
      </c>
      <c r="B21">
        <v>-7.2844330789933256E-2</v>
      </c>
      <c r="C21">
        <v>0.14105132937442608</v>
      </c>
      <c r="D21">
        <v>-0.51643845622018369</v>
      </c>
      <c r="E21">
        <v>0.60603178137164948</v>
      </c>
      <c r="F21">
        <v>-0.35072487937647995</v>
      </c>
      <c r="G21">
        <v>0.20503621779661346</v>
      </c>
      <c r="H21">
        <v>-0.35072487937647995</v>
      </c>
      <c r="I21">
        <v>0.20503621779661346</v>
      </c>
    </row>
    <row r="22" spans="1:9">
      <c r="A22" t="s">
        <v>28</v>
      </c>
      <c r="B22">
        <v>5.300530498293575E-2</v>
      </c>
      <c r="C22">
        <v>0.12058260481989184</v>
      </c>
      <c r="D22">
        <v>0.43957671226382194</v>
      </c>
      <c r="E22">
        <v>0.66064596015396382</v>
      </c>
      <c r="F22">
        <v>-0.18455048783344558</v>
      </c>
      <c r="G22">
        <v>0.29056109779931705</v>
      </c>
      <c r="H22">
        <v>-0.18455048783344558</v>
      </c>
      <c r="I22">
        <v>0.29056109779931705</v>
      </c>
    </row>
    <row r="23" spans="1:9" ht="15" thickBot="1">
      <c r="A23" s="4" t="s">
        <v>29</v>
      </c>
      <c r="B23" s="4">
        <v>-0.11600626172099013</v>
      </c>
      <c r="C23" s="4">
        <v>0.30855321573390121</v>
      </c>
      <c r="D23" s="4">
        <v>-0.37596840935547038</v>
      </c>
      <c r="E23" s="4">
        <v>0.70727812423530267</v>
      </c>
      <c r="F23" s="4">
        <v>-0.7238767244564176</v>
      </c>
      <c r="G23" s="4">
        <v>0.49186420101443729</v>
      </c>
      <c r="H23" s="4">
        <v>-0.7238767244564176</v>
      </c>
      <c r="I23" s="4">
        <v>0.49186420101443729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7EB0B-904D-4A32-AC49-EEE4C902527F}">
  <dimension ref="A1:S249"/>
  <sheetViews>
    <sheetView tabSelected="1" zoomScale="82" zoomScaleNormal="82" workbookViewId="0">
      <selection activeCell="L1" sqref="L1:L1048576"/>
    </sheetView>
  </sheetViews>
  <sheetFormatPr defaultColWidth="13.453125" defaultRowHeight="14.5"/>
  <cols>
    <col min="2" max="2" width="8.81640625" customWidth="1"/>
    <col min="3" max="3" width="5.90625" customWidth="1"/>
    <col min="4" max="5" width="7.36328125" customWidth="1"/>
    <col min="6" max="6" width="5.90625" customWidth="1"/>
    <col min="7" max="7" width="13.54296875" customWidth="1"/>
    <col min="8" max="8" width="9.7265625" customWidth="1"/>
    <col min="9" max="9" width="11.81640625" customWidth="1"/>
    <col min="10" max="10" width="10" customWidth="1"/>
    <col min="11" max="11" width="11.1796875" customWidth="1"/>
    <col min="12" max="12" width="13.54296875" customWidth="1"/>
    <col min="13" max="13" width="10.36328125" customWidth="1"/>
    <col min="14" max="14" width="12.6328125" customWidth="1"/>
    <col min="15" max="15" width="10.36328125" customWidth="1"/>
    <col min="16" max="16" width="10.6328125" customWidth="1"/>
    <col min="18" max="18" width="11.7265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5</v>
      </c>
      <c r="H1" t="s">
        <v>26</v>
      </c>
      <c r="I1" t="s">
        <v>27</v>
      </c>
      <c r="J1" t="s">
        <v>28</v>
      </c>
      <c r="K1" t="s">
        <v>29</v>
      </c>
      <c r="L1" s="7" t="s">
        <v>60</v>
      </c>
      <c r="M1" s="8" t="s">
        <v>61</v>
      </c>
      <c r="N1" s="9" t="s">
        <v>62</v>
      </c>
      <c r="Q1" s="3" t="s">
        <v>30</v>
      </c>
    </row>
    <row r="2" spans="1:19">
      <c r="A2" t="s">
        <v>7</v>
      </c>
      <c r="B2" t="s">
        <v>8</v>
      </c>
      <c r="C2" t="s">
        <v>9</v>
      </c>
      <c r="D2" t="s">
        <v>10</v>
      </c>
      <c r="E2">
        <v>1.01</v>
      </c>
      <c r="F2">
        <v>2</v>
      </c>
      <c r="G2">
        <v>16.989999999999998</v>
      </c>
      <c r="H2" s="2">
        <f t="shared" ref="H2:H33" si="0">IF(A2="Female",1,0)</f>
        <v>1</v>
      </c>
      <c r="I2">
        <f>IF(B2="yes",1,0)</f>
        <v>0</v>
      </c>
      <c r="J2">
        <f>IF(C2="Thur", 1, IF(C2="Fri", 2, IF(C2="Sat", 3, 4)))</f>
        <v>4</v>
      </c>
      <c r="K2">
        <f>IF(D2="Dinner",1, 0)</f>
        <v>1</v>
      </c>
      <c r="L2" s="13">
        <f>Sheet1!$B$17+(Sheet1!$B$18*tips!F2)+(Sheet1!$B$19*tips!G2)+(Sheet1!$B$20*tips!H2)+(Sheet1!$B$21*tips!I2)+(Sheet1!$B$22*tips!J2)+(Sheet1!$B$23*tips!K2)</f>
        <v>2.722561825827039</v>
      </c>
      <c r="M2" s="13">
        <f>L2-E2</f>
        <v>1.712561825827039</v>
      </c>
      <c r="N2" s="13">
        <f>M2^2</f>
        <v>2.9328680072800415</v>
      </c>
      <c r="Q2">
        <f>CORREL(H2:H244,E2:E244)</f>
        <v>-8.5273975201494628E-2</v>
      </c>
    </row>
    <row r="3" spans="1:19">
      <c r="A3" t="s">
        <v>11</v>
      </c>
      <c r="B3" t="s">
        <v>8</v>
      </c>
      <c r="C3" t="s">
        <v>9</v>
      </c>
      <c r="D3" t="s">
        <v>10</v>
      </c>
      <c r="E3">
        <v>1.66</v>
      </c>
      <c r="F3">
        <v>3</v>
      </c>
      <c r="G3">
        <v>10.34</v>
      </c>
      <c r="H3" s="2">
        <f t="shared" si="0"/>
        <v>0</v>
      </c>
      <c r="I3">
        <f t="shared" ref="I3:I66" si="1">IF(B3="yes",1,0)</f>
        <v>0</v>
      </c>
      <c r="J3">
        <f t="shared" ref="J3:J66" si="2">IF(C3="Thur", 1, IF(C3="Fri", 2, IF(C3="Sat", 3, 4)))</f>
        <v>4</v>
      </c>
      <c r="K3">
        <f t="shared" ref="K3:K66" si="3">IF(D3="Dinner",1, 0)</f>
        <v>1</v>
      </c>
      <c r="L3" s="13">
        <f>Sheet1!$B$17+(Sheet1!$B$18*tips!F3)+(Sheet1!$B$19*tips!G3)+(Sheet1!$B$20*tips!H3)+(Sheet1!$B$21*tips!I3)+(Sheet1!$B$22*tips!J3)+(Sheet1!$B$23*tips!K3)</f>
        <v>2.2340412828681808</v>
      </c>
      <c r="M3" s="13">
        <f>L3-E3</f>
        <v>0.5740412828681809</v>
      </c>
      <c r="N3" s="13">
        <f t="shared" ref="N3:N66" si="4">M3^2</f>
        <v>0.32952339443694689</v>
      </c>
      <c r="Q3" s="3" t="s">
        <v>31</v>
      </c>
    </row>
    <row r="4" spans="1:19">
      <c r="A4" t="s">
        <v>11</v>
      </c>
      <c r="B4" t="s">
        <v>8</v>
      </c>
      <c r="C4" t="s">
        <v>9</v>
      </c>
      <c r="D4" t="s">
        <v>10</v>
      </c>
      <c r="E4">
        <v>3.5</v>
      </c>
      <c r="F4">
        <v>3</v>
      </c>
      <c r="G4">
        <v>21.01</v>
      </c>
      <c r="H4" s="2">
        <f t="shared" si="0"/>
        <v>0</v>
      </c>
      <c r="I4">
        <f t="shared" si="1"/>
        <v>0</v>
      </c>
      <c r="J4">
        <f t="shared" si="2"/>
        <v>4</v>
      </c>
      <c r="K4">
        <f t="shared" si="3"/>
        <v>1</v>
      </c>
      <c r="L4" s="13">
        <f>Sheet1!$B$17+(Sheet1!$B$18*tips!F4)+(Sheet1!$B$19*tips!G4)+(Sheet1!$B$20*tips!H4)+(Sheet1!$B$21*tips!I4)+(Sheet1!$B$22*tips!J4)+(Sheet1!$B$23*tips!K4)</f>
        <v>3.2398330264095963</v>
      </c>
      <c r="M4" s="13">
        <f t="shared" ref="M4:M66" si="5">L4-E4</f>
        <v>-0.26016697359040375</v>
      </c>
      <c r="N4" s="13">
        <f t="shared" si="4"/>
        <v>6.7686854147189848E-2</v>
      </c>
      <c r="Q4">
        <f>CORREL(I2:I244,E2:E244)</f>
        <v>9.7627499908010239E-3</v>
      </c>
    </row>
    <row r="5" spans="1:19">
      <c r="A5" t="s">
        <v>11</v>
      </c>
      <c r="B5" t="s">
        <v>8</v>
      </c>
      <c r="C5" t="s">
        <v>9</v>
      </c>
      <c r="D5" t="s">
        <v>10</v>
      </c>
      <c r="E5">
        <v>3.31</v>
      </c>
      <c r="F5">
        <v>2</v>
      </c>
      <c r="G5">
        <v>23.68</v>
      </c>
      <c r="H5" s="2">
        <f t="shared" si="0"/>
        <v>0</v>
      </c>
      <c r="I5">
        <f t="shared" si="1"/>
        <v>0</v>
      </c>
      <c r="J5">
        <f t="shared" si="2"/>
        <v>4</v>
      </c>
      <c r="K5">
        <f t="shared" si="3"/>
        <v>1</v>
      </c>
      <c r="L5" s="13">
        <f>Sheet1!$B$17+(Sheet1!$B$18*tips!F5)+(Sheet1!$B$19*tips!G5)+(Sheet1!$B$20*tips!H5)+(Sheet1!$B$21*tips!I5)+(Sheet1!$B$22*tips!J5)+(Sheet1!$B$23*tips!K5)</f>
        <v>3.3165522505444605</v>
      </c>
      <c r="M5" s="13">
        <f t="shared" si="5"/>
        <v>6.5522505444604029E-3</v>
      </c>
      <c r="N5" s="13">
        <f>M5^2</f>
        <v>4.2931987197381648E-5</v>
      </c>
      <c r="O5" s="10" t="s">
        <v>63</v>
      </c>
      <c r="Q5" s="3" t="s">
        <v>32</v>
      </c>
    </row>
    <row r="6" spans="1:19">
      <c r="A6" t="s">
        <v>7</v>
      </c>
      <c r="B6" t="s">
        <v>8</v>
      </c>
      <c r="C6" t="s">
        <v>9</v>
      </c>
      <c r="D6" t="s">
        <v>10</v>
      </c>
      <c r="E6">
        <v>3.61</v>
      </c>
      <c r="F6">
        <v>4</v>
      </c>
      <c r="G6">
        <v>24.59</v>
      </c>
      <c r="H6" s="2">
        <f t="shared" si="0"/>
        <v>1</v>
      </c>
      <c r="I6">
        <f t="shared" si="1"/>
        <v>0</v>
      </c>
      <c r="J6">
        <f t="shared" si="2"/>
        <v>4</v>
      </c>
      <c r="K6">
        <f t="shared" si="3"/>
        <v>1</v>
      </c>
      <c r="L6" s="13">
        <f>Sheet1!$B$17+(Sheet1!$B$18*tips!F6)+(Sheet1!$B$19*tips!G6)+(Sheet1!$B$20*tips!H6)+(Sheet1!$B$21*tips!I6)+(Sheet1!$B$22*tips!J6)+(Sheet1!$B$23*tips!K6)</f>
        <v>3.7888933083376215</v>
      </c>
      <c r="M6" s="13">
        <f t="shared" si="5"/>
        <v>0.17889330833762163</v>
      </c>
      <c r="N6" s="13">
        <f t="shared" si="4"/>
        <v>3.2002815767979365E-2</v>
      </c>
      <c r="O6" s="15">
        <f>AVERAGE(N2:N244)</f>
        <v>1.0159822896861641</v>
      </c>
      <c r="Q6">
        <f>CORREL(J2:J244,E2:E244)</f>
        <v>0.13179752636389336</v>
      </c>
    </row>
    <row r="7" spans="1:19">
      <c r="A7" t="s">
        <v>11</v>
      </c>
      <c r="B7" t="s">
        <v>8</v>
      </c>
      <c r="C7" t="s">
        <v>9</v>
      </c>
      <c r="D7" t="s">
        <v>10</v>
      </c>
      <c r="E7">
        <v>4.71</v>
      </c>
      <c r="F7">
        <v>4</v>
      </c>
      <c r="G7">
        <v>25.29</v>
      </c>
      <c r="H7" s="2">
        <f t="shared" si="0"/>
        <v>0</v>
      </c>
      <c r="I7">
        <f t="shared" si="1"/>
        <v>0</v>
      </c>
      <c r="J7">
        <f t="shared" si="2"/>
        <v>4</v>
      </c>
      <c r="K7">
        <f t="shared" si="3"/>
        <v>1</v>
      </c>
      <c r="L7" s="13">
        <f>Sheet1!$B$17+(Sheet1!$B$18*tips!F7)+(Sheet1!$B$19*tips!G7)+(Sheet1!$B$20*tips!H7)+(Sheet1!$B$21*tips!I7)+(Sheet1!$B$22*tips!J7)+(Sheet1!$B$23*tips!K7)</f>
        <v>3.8182452565964597</v>
      </c>
      <c r="M7" s="13">
        <f t="shared" si="5"/>
        <v>-0.89175474340354022</v>
      </c>
      <c r="N7" s="13">
        <f t="shared" si="4"/>
        <v>0.79522652238271385</v>
      </c>
      <c r="O7" s="11" t="s">
        <v>64</v>
      </c>
      <c r="Q7" s="3" t="s">
        <v>33</v>
      </c>
    </row>
    <row r="8" spans="1:19">
      <c r="A8" t="s">
        <v>11</v>
      </c>
      <c r="B8" t="s">
        <v>8</v>
      </c>
      <c r="C8" t="s">
        <v>9</v>
      </c>
      <c r="D8" t="s">
        <v>10</v>
      </c>
      <c r="E8">
        <v>2</v>
      </c>
      <c r="F8">
        <v>2</v>
      </c>
      <c r="G8">
        <v>8.77</v>
      </c>
      <c r="H8" s="2">
        <f t="shared" si="0"/>
        <v>0</v>
      </c>
      <c r="I8">
        <f t="shared" si="1"/>
        <v>0</v>
      </c>
      <c r="J8">
        <f t="shared" si="2"/>
        <v>4</v>
      </c>
      <c r="K8">
        <f t="shared" si="3"/>
        <v>1</v>
      </c>
      <c r="L8" s="13">
        <f>Sheet1!$B$17+(Sheet1!$B$18*tips!F8)+(Sheet1!$B$19*tips!G8)+(Sheet1!$B$20*tips!H8)+(Sheet1!$B$21*tips!I8)+(Sheet1!$B$22*tips!J8)+(Sheet1!$B$23*tips!K8)</f>
        <v>1.9110831881074872</v>
      </c>
      <c r="M8" s="13">
        <f t="shared" si="5"/>
        <v>-8.891681189251277E-2</v>
      </c>
      <c r="N8" s="13">
        <f t="shared" si="4"/>
        <v>7.906199437128501E-3</v>
      </c>
      <c r="O8" s="14">
        <f>SQRT(O6)</f>
        <v>1.007959468275468</v>
      </c>
      <c r="Q8">
        <f>CORREL(K2:K244,E2:E244)</f>
        <v>0.117596390271059</v>
      </c>
    </row>
    <row r="9" spans="1:19">
      <c r="A9" t="s">
        <v>11</v>
      </c>
      <c r="B9" t="s">
        <v>8</v>
      </c>
      <c r="C9" t="s">
        <v>9</v>
      </c>
      <c r="D9" t="s">
        <v>10</v>
      </c>
      <c r="E9">
        <v>3.12</v>
      </c>
      <c r="F9">
        <v>4</v>
      </c>
      <c r="G9">
        <v>26.88</v>
      </c>
      <c r="H9" s="2">
        <f t="shared" si="0"/>
        <v>0</v>
      </c>
      <c r="I9">
        <f t="shared" si="1"/>
        <v>0</v>
      </c>
      <c r="J9">
        <f t="shared" si="2"/>
        <v>4</v>
      </c>
      <c r="K9">
        <f t="shared" si="3"/>
        <v>1</v>
      </c>
      <c r="L9" s="13">
        <f>Sheet1!$B$17+(Sheet1!$B$18*tips!F9)+(Sheet1!$B$19*tips!G9)+(Sheet1!$B$20*tips!H9)+(Sheet1!$B$21*tips!I9)+(Sheet1!$B$22*tips!J9)+(Sheet1!$B$23*tips!K9)</f>
        <v>3.9681242511822941</v>
      </c>
      <c r="M9" s="13">
        <f t="shared" si="5"/>
        <v>0.84812425118229395</v>
      </c>
      <c r="N9" s="13">
        <f t="shared" si="4"/>
        <v>0.7193147454435268</v>
      </c>
      <c r="Q9" s="3" t="s">
        <v>34</v>
      </c>
    </row>
    <row r="10" spans="1:19">
      <c r="A10" t="s">
        <v>11</v>
      </c>
      <c r="B10" t="s">
        <v>8</v>
      </c>
      <c r="C10" t="s">
        <v>9</v>
      </c>
      <c r="D10" t="s">
        <v>10</v>
      </c>
      <c r="E10">
        <v>1.96</v>
      </c>
      <c r="F10">
        <v>2</v>
      </c>
      <c r="G10">
        <v>15.04</v>
      </c>
      <c r="H10" s="2">
        <f t="shared" si="0"/>
        <v>0</v>
      </c>
      <c r="I10">
        <f t="shared" si="1"/>
        <v>0</v>
      </c>
      <c r="J10">
        <f t="shared" si="2"/>
        <v>4</v>
      </c>
      <c r="K10">
        <f t="shared" si="3"/>
        <v>1</v>
      </c>
      <c r="L10" s="13">
        <f>Sheet1!$B$17+(Sheet1!$B$18*tips!F10)+(Sheet1!$B$19*tips!G10)+(Sheet1!$B$20*tips!H10)+(Sheet1!$B$21*tips!I10)+(Sheet1!$B$22*tips!J10)+(Sheet1!$B$23*tips!K10)</f>
        <v>2.502115449776154</v>
      </c>
      <c r="M10" s="13">
        <f t="shared" si="5"/>
        <v>0.542115449776154</v>
      </c>
      <c r="N10" s="13">
        <f t="shared" si="4"/>
        <v>0.29388916088600175</v>
      </c>
      <c r="Q10">
        <f>CORREL(F2:F244,E2:E244)</f>
        <v>0.48840039467488378</v>
      </c>
    </row>
    <row r="11" spans="1:19">
      <c r="A11" t="s">
        <v>11</v>
      </c>
      <c r="B11" t="s">
        <v>8</v>
      </c>
      <c r="C11" t="s">
        <v>9</v>
      </c>
      <c r="D11" t="s">
        <v>10</v>
      </c>
      <c r="E11">
        <v>3.23</v>
      </c>
      <c r="F11">
        <v>2</v>
      </c>
      <c r="G11">
        <v>14.78</v>
      </c>
      <c r="H11" s="2">
        <f t="shared" si="0"/>
        <v>0</v>
      </c>
      <c r="I11">
        <f t="shared" si="1"/>
        <v>0</v>
      </c>
      <c r="J11">
        <f t="shared" si="2"/>
        <v>4</v>
      </c>
      <c r="K11">
        <f t="shared" si="3"/>
        <v>1</v>
      </c>
      <c r="L11" s="13">
        <f>Sheet1!$B$17+(Sheet1!$B$18*tips!F11)+(Sheet1!$B$19*tips!G11)+(Sheet1!$B$20*tips!H11)+(Sheet1!$B$21*tips!I11)+(Sheet1!$B$22*tips!J11)+(Sheet1!$B$23*tips!K11)</f>
        <v>2.477606934938219</v>
      </c>
      <c r="M11" s="13">
        <f>L11-E11</f>
        <v>-0.75239306506178094</v>
      </c>
      <c r="N11" s="13">
        <f t="shared" si="4"/>
        <v>0.56609532435306131</v>
      </c>
      <c r="Q11" s="3" t="s">
        <v>35</v>
      </c>
    </row>
    <row r="12" spans="1:19">
      <c r="A12" t="s">
        <v>11</v>
      </c>
      <c r="B12" t="s">
        <v>8</v>
      </c>
      <c r="C12" t="s">
        <v>9</v>
      </c>
      <c r="D12" t="s">
        <v>10</v>
      </c>
      <c r="E12">
        <v>1.71</v>
      </c>
      <c r="F12">
        <v>2</v>
      </c>
      <c r="G12">
        <v>10.27</v>
      </c>
      <c r="H12" s="2">
        <f t="shared" si="0"/>
        <v>0</v>
      </c>
      <c r="I12">
        <f t="shared" si="1"/>
        <v>0</v>
      </c>
      <c r="J12">
        <f t="shared" si="2"/>
        <v>4</v>
      </c>
      <c r="K12">
        <f t="shared" si="3"/>
        <v>1</v>
      </c>
      <c r="L12" s="13">
        <f>Sheet1!$B$17+(Sheet1!$B$18*tips!F12)+(Sheet1!$B$19*tips!G12)+(Sheet1!$B$20*tips!H12)+(Sheet1!$B$21*tips!I12)+(Sheet1!$B$22*tips!J12)+(Sheet1!$B$23*tips!K12)</f>
        <v>2.0524784660186515</v>
      </c>
      <c r="M12" s="13">
        <f t="shared" si="5"/>
        <v>0.34247846601865151</v>
      </c>
      <c r="N12" s="13">
        <f t="shared" si="4"/>
        <v>0.11729149968648864</v>
      </c>
      <c r="P12" s="12"/>
      <c r="Q12">
        <f>CORREL(G2:G244,E2:E244)</f>
        <v>0.6749978565456074</v>
      </c>
    </row>
    <row r="13" spans="1:19">
      <c r="A13" t="s">
        <v>7</v>
      </c>
      <c r="B13" t="s">
        <v>8</v>
      </c>
      <c r="C13" t="s">
        <v>9</v>
      </c>
      <c r="D13" t="s">
        <v>10</v>
      </c>
      <c r="E13">
        <v>5</v>
      </c>
      <c r="F13">
        <v>4</v>
      </c>
      <c r="G13">
        <v>35.26</v>
      </c>
      <c r="H13" s="2">
        <f t="shared" si="0"/>
        <v>1</v>
      </c>
      <c r="I13">
        <f t="shared" si="1"/>
        <v>0</v>
      </c>
      <c r="J13">
        <f t="shared" si="2"/>
        <v>4</v>
      </c>
      <c r="K13">
        <f t="shared" si="3"/>
        <v>1</v>
      </c>
      <c r="L13" s="13">
        <f>Sheet1!$B$17+(Sheet1!$B$18*tips!F13)+(Sheet1!$B$19*tips!G13)+(Sheet1!$B$20*tips!H13)+(Sheet1!$B$21*tips!I13)+(Sheet1!$B$22*tips!J13)+(Sheet1!$B$23*tips!K13)</f>
        <v>4.7946850518790356</v>
      </c>
      <c r="M13" s="13">
        <f t="shared" si="5"/>
        <v>-0.2053149481209644</v>
      </c>
      <c r="N13" s="13">
        <f t="shared" si="4"/>
        <v>4.2154227921914304E-2</v>
      </c>
      <c r="Q13" s="16"/>
      <c r="R13" s="16"/>
      <c r="S13" s="16"/>
    </row>
    <row r="14" spans="1:19">
      <c r="A14" t="s">
        <v>11</v>
      </c>
      <c r="B14" t="s">
        <v>8</v>
      </c>
      <c r="C14" t="s">
        <v>9</v>
      </c>
      <c r="D14" t="s">
        <v>10</v>
      </c>
      <c r="E14">
        <v>1.57</v>
      </c>
      <c r="F14">
        <v>2</v>
      </c>
      <c r="G14">
        <v>15.42</v>
      </c>
      <c r="H14" s="2">
        <f t="shared" si="0"/>
        <v>0</v>
      </c>
      <c r="I14">
        <f t="shared" si="1"/>
        <v>0</v>
      </c>
      <c r="J14">
        <f t="shared" si="2"/>
        <v>4</v>
      </c>
      <c r="K14">
        <f t="shared" si="3"/>
        <v>1</v>
      </c>
      <c r="L14" s="13">
        <f>Sheet1!$B$17+(Sheet1!$B$18*tips!F14)+(Sheet1!$B$19*tips!G14)+(Sheet1!$B$20*tips!H14)+(Sheet1!$B$21*tips!I14)+(Sheet1!$B$22*tips!J14)+(Sheet1!$B$23*tips!K14)</f>
        <v>2.5379355868469826</v>
      </c>
      <c r="M14" s="13">
        <f t="shared" si="5"/>
        <v>0.96793558684698255</v>
      </c>
      <c r="N14" s="13">
        <f t="shared" si="4"/>
        <v>0.9368993002848125</v>
      </c>
      <c r="Q14" s="16"/>
      <c r="R14" s="16"/>
      <c r="S14" s="16"/>
    </row>
    <row r="15" spans="1:19">
      <c r="A15" t="s">
        <v>11</v>
      </c>
      <c r="B15" t="s">
        <v>8</v>
      </c>
      <c r="C15" t="s">
        <v>9</v>
      </c>
      <c r="D15" t="s">
        <v>10</v>
      </c>
      <c r="E15">
        <v>3</v>
      </c>
      <c r="F15">
        <v>4</v>
      </c>
      <c r="G15">
        <v>18.43</v>
      </c>
      <c r="H15" s="2">
        <f t="shared" si="0"/>
        <v>0</v>
      </c>
      <c r="I15">
        <f t="shared" si="1"/>
        <v>0</v>
      </c>
      <c r="J15">
        <f t="shared" si="2"/>
        <v>4</v>
      </c>
      <c r="K15">
        <f t="shared" si="3"/>
        <v>1</v>
      </c>
      <c r="L15" s="13">
        <f>Sheet1!$B$17+(Sheet1!$B$18*tips!F15)+(Sheet1!$B$19*tips!G15)+(Sheet1!$B$20*tips!H15)+(Sheet1!$B$21*tips!I15)+(Sheet1!$B$22*tips!J15)+(Sheet1!$B$23*tips!K15)</f>
        <v>3.1715975189494019</v>
      </c>
      <c r="M15" s="13">
        <f t="shared" si="5"/>
        <v>0.17159751894940189</v>
      </c>
      <c r="N15" s="13">
        <f t="shared" si="4"/>
        <v>2.9445708509590343E-2</v>
      </c>
      <c r="P15" t="e" cm="1">
        <f t="array" ref="P15">av</f>
        <v>#NAME?</v>
      </c>
      <c r="Q15" s="16"/>
      <c r="R15" s="16"/>
      <c r="S15" s="16"/>
    </row>
    <row r="16" spans="1:19">
      <c r="A16" t="s">
        <v>7</v>
      </c>
      <c r="B16" t="s">
        <v>8</v>
      </c>
      <c r="C16" t="s">
        <v>9</v>
      </c>
      <c r="D16" t="s">
        <v>10</v>
      </c>
      <c r="E16">
        <v>3.02</v>
      </c>
      <c r="F16">
        <v>2</v>
      </c>
      <c r="G16">
        <v>14.83</v>
      </c>
      <c r="H16" s="2">
        <f t="shared" si="0"/>
        <v>1</v>
      </c>
      <c r="I16">
        <f t="shared" si="1"/>
        <v>0</v>
      </c>
      <c r="J16">
        <f t="shared" si="2"/>
        <v>4</v>
      </c>
      <c r="K16">
        <f t="shared" si="3"/>
        <v>1</v>
      </c>
      <c r="L16" s="13">
        <f>Sheet1!$B$17+(Sheet1!$B$18*tips!F16)+(Sheet1!$B$19*tips!G16)+(Sheet1!$B$20*tips!H16)+(Sheet1!$B$21*tips!I16)+(Sheet1!$B$22*tips!J16)+(Sheet1!$B$23*tips!K16)</f>
        <v>2.5189526256349626</v>
      </c>
      <c r="M16" s="13">
        <f t="shared" si="5"/>
        <v>-0.50104737436503743</v>
      </c>
      <c r="N16" s="13">
        <f t="shared" si="4"/>
        <v>0.25104847135809799</v>
      </c>
      <c r="Q16" s="16"/>
      <c r="R16" s="16"/>
      <c r="S16" s="16"/>
    </row>
    <row r="17" spans="1:19">
      <c r="A17" t="s">
        <v>11</v>
      </c>
      <c r="B17" t="s">
        <v>8</v>
      </c>
      <c r="C17" t="s">
        <v>9</v>
      </c>
      <c r="D17" t="s">
        <v>10</v>
      </c>
      <c r="E17">
        <v>3.92</v>
      </c>
      <c r="F17">
        <v>2</v>
      </c>
      <c r="G17">
        <v>21.58</v>
      </c>
      <c r="H17" s="2">
        <f t="shared" si="0"/>
        <v>0</v>
      </c>
      <c r="I17">
        <f t="shared" si="1"/>
        <v>0</v>
      </c>
      <c r="J17">
        <f t="shared" si="2"/>
        <v>4</v>
      </c>
      <c r="K17">
        <f t="shared" si="3"/>
        <v>1</v>
      </c>
      <c r="L17" s="13">
        <f>Sheet1!$B$17+(Sheet1!$B$18*tips!F17)+(Sheet1!$B$19*tips!G17)+(Sheet1!$B$20*tips!H17)+(Sheet1!$B$21*tips!I17)+(Sheet1!$B$22*tips!J17)+(Sheet1!$B$23*tips!K17)</f>
        <v>3.11859886146883</v>
      </c>
      <c r="M17" s="13">
        <f t="shared" si="5"/>
        <v>-0.8014011385311699</v>
      </c>
      <c r="N17" s="13">
        <f t="shared" si="4"/>
        <v>0.64224378483905542</v>
      </c>
      <c r="Q17" s="16"/>
      <c r="R17" s="16"/>
      <c r="S17" s="16"/>
    </row>
    <row r="18" spans="1:19">
      <c r="A18" t="s">
        <v>7</v>
      </c>
      <c r="B18" t="s">
        <v>8</v>
      </c>
      <c r="C18" t="s">
        <v>9</v>
      </c>
      <c r="D18" t="s">
        <v>10</v>
      </c>
      <c r="E18">
        <v>1.67</v>
      </c>
      <c r="F18">
        <v>3</v>
      </c>
      <c r="G18">
        <v>10.33</v>
      </c>
      <c r="H18" s="2">
        <f t="shared" si="0"/>
        <v>1</v>
      </c>
      <c r="I18">
        <f t="shared" si="1"/>
        <v>0</v>
      </c>
      <c r="J18">
        <f t="shared" si="2"/>
        <v>4</v>
      </c>
      <c r="K18">
        <f t="shared" si="3"/>
        <v>1</v>
      </c>
      <c r="L18" s="13">
        <f>Sheet1!$B$17+(Sheet1!$B$18*tips!F18)+(Sheet1!$B$19*tips!G18)+(Sheet1!$B$20*tips!H18)+(Sheet1!$B$21*tips!I18)+(Sheet1!$B$22*tips!J18)+(Sheet1!$B$23*tips!K18)</f>
        <v>2.2697311624484775</v>
      </c>
      <c r="M18" s="13">
        <f t="shared" si="5"/>
        <v>0.59973116244847757</v>
      </c>
      <c r="N18" s="13">
        <f t="shared" si="4"/>
        <v>0.35967746721180222</v>
      </c>
      <c r="Q18" s="16"/>
      <c r="R18" s="16"/>
      <c r="S18" s="16"/>
    </row>
    <row r="19" spans="1:19">
      <c r="A19" t="s">
        <v>11</v>
      </c>
      <c r="B19" t="s">
        <v>8</v>
      </c>
      <c r="C19" t="s">
        <v>9</v>
      </c>
      <c r="D19" t="s">
        <v>10</v>
      </c>
      <c r="E19">
        <v>3.71</v>
      </c>
      <c r="F19">
        <v>3</v>
      </c>
      <c r="G19">
        <v>16.29</v>
      </c>
      <c r="H19" s="2">
        <f t="shared" si="0"/>
        <v>0</v>
      </c>
      <c r="I19">
        <f t="shared" si="1"/>
        <v>0</v>
      </c>
      <c r="J19">
        <f t="shared" si="2"/>
        <v>4</v>
      </c>
      <c r="K19">
        <f t="shared" si="3"/>
        <v>1</v>
      </c>
      <c r="L19" s="13">
        <f>Sheet1!$B$17+(Sheet1!$B$18*tips!F19)+(Sheet1!$B$19*tips!G19)+(Sheet1!$B$20*tips!H19)+(Sheet1!$B$21*tips!I19)+(Sheet1!$B$22*tips!J19)+(Sheet1!$B$23*tips!K19)</f>
        <v>2.7949092185824655</v>
      </c>
      <c r="M19" s="13">
        <f t="shared" si="5"/>
        <v>-0.91509078141753442</v>
      </c>
      <c r="N19" s="13">
        <f t="shared" si="4"/>
        <v>0.83739113823535372</v>
      </c>
    </row>
    <row r="20" spans="1:19">
      <c r="A20" t="s">
        <v>7</v>
      </c>
      <c r="B20" t="s">
        <v>8</v>
      </c>
      <c r="C20" t="s">
        <v>9</v>
      </c>
      <c r="D20" t="s">
        <v>10</v>
      </c>
      <c r="E20">
        <v>3.5</v>
      </c>
      <c r="F20">
        <v>3</v>
      </c>
      <c r="G20">
        <v>16.97</v>
      </c>
      <c r="H20" s="2">
        <f t="shared" si="0"/>
        <v>1</v>
      </c>
      <c r="I20">
        <f t="shared" si="1"/>
        <v>0</v>
      </c>
      <c r="J20">
        <f t="shared" si="2"/>
        <v>4</v>
      </c>
      <c r="K20">
        <f t="shared" si="3"/>
        <v>1</v>
      </c>
      <c r="L20" s="13">
        <f>Sheet1!$B$17+(Sheet1!$B$18*tips!F20)+(Sheet1!$B$19*tips!G20)+(Sheet1!$B$20*tips!H20)+(Sheet1!$B$21*tips!I20)+(Sheet1!$B$22*tips!J20)+(Sheet1!$B$23*tips!K20)</f>
        <v>2.895640926001898</v>
      </c>
      <c r="M20" s="13">
        <f t="shared" si="5"/>
        <v>-0.60435907399810196</v>
      </c>
      <c r="N20" s="13">
        <f t="shared" si="4"/>
        <v>0.36524989032384325</v>
      </c>
      <c r="R20" s="1" t="s">
        <v>12</v>
      </c>
      <c r="S20" s="1" t="s">
        <v>13</v>
      </c>
    </row>
    <row r="21" spans="1:19">
      <c r="A21" t="s">
        <v>11</v>
      </c>
      <c r="B21" t="s">
        <v>8</v>
      </c>
      <c r="C21" t="s">
        <v>21</v>
      </c>
      <c r="D21" t="s">
        <v>10</v>
      </c>
      <c r="E21">
        <v>3.35</v>
      </c>
      <c r="F21">
        <v>3</v>
      </c>
      <c r="G21">
        <v>20.65</v>
      </c>
      <c r="H21" s="2">
        <f t="shared" si="0"/>
        <v>0</v>
      </c>
      <c r="I21">
        <f t="shared" si="1"/>
        <v>0</v>
      </c>
      <c r="J21">
        <f t="shared" si="2"/>
        <v>3</v>
      </c>
      <c r="K21">
        <f t="shared" si="3"/>
        <v>1</v>
      </c>
      <c r="L21" s="13">
        <f>Sheet1!$B$17+(Sheet1!$B$18*tips!F21)+(Sheet1!$B$19*tips!G21)+(Sheet1!$B$20*tips!H21)+(Sheet1!$B$21*tips!I21)+(Sheet1!$B$22*tips!J21)+(Sheet1!$B$23*tips!K21)</f>
        <v>3.1528928547279809</v>
      </c>
      <c r="M21" s="13">
        <f t="shared" si="5"/>
        <v>-0.19710714527201922</v>
      </c>
      <c r="N21" s="13">
        <f t="shared" si="4"/>
        <v>3.8851226717284894E-2</v>
      </c>
      <c r="R21" s="1" t="s">
        <v>1</v>
      </c>
      <c r="S21" s="1" t="s">
        <v>14</v>
      </c>
    </row>
    <row r="22" spans="1:19">
      <c r="A22" t="s">
        <v>11</v>
      </c>
      <c r="B22" t="s">
        <v>8</v>
      </c>
      <c r="C22" t="s">
        <v>21</v>
      </c>
      <c r="D22" t="s">
        <v>10</v>
      </c>
      <c r="E22">
        <v>4.08</v>
      </c>
      <c r="F22">
        <v>2</v>
      </c>
      <c r="G22">
        <v>17.920000000000002</v>
      </c>
      <c r="H22" s="2">
        <f t="shared" si="0"/>
        <v>0</v>
      </c>
      <c r="I22">
        <f t="shared" si="1"/>
        <v>0</v>
      </c>
      <c r="J22">
        <f t="shared" si="2"/>
        <v>3</v>
      </c>
      <c r="K22">
        <f t="shared" si="3"/>
        <v>1</v>
      </c>
      <c r="L22" s="13">
        <f>Sheet1!$B$17+(Sheet1!$B$18*tips!F22)+(Sheet1!$B$19*tips!G22)+(Sheet1!$B$20*tips!H22)+(Sheet1!$B$21*tips!I22)+(Sheet1!$B$22*tips!J22)+(Sheet1!$B$23*tips!K22)</f>
        <v>2.7205890783826541</v>
      </c>
      <c r="M22" s="13">
        <f t="shared" si="5"/>
        <v>-1.359410921617346</v>
      </c>
      <c r="N22" s="13">
        <f t="shared" si="4"/>
        <v>1.847998053812522</v>
      </c>
      <c r="R22" s="1" t="s">
        <v>2</v>
      </c>
      <c r="S22" s="1" t="s">
        <v>15</v>
      </c>
    </row>
    <row r="23" spans="1:19">
      <c r="A23" t="s">
        <v>7</v>
      </c>
      <c r="B23" t="s">
        <v>8</v>
      </c>
      <c r="C23" t="s">
        <v>21</v>
      </c>
      <c r="D23" t="s">
        <v>10</v>
      </c>
      <c r="E23">
        <v>2.75</v>
      </c>
      <c r="F23">
        <v>2</v>
      </c>
      <c r="G23">
        <v>20.29</v>
      </c>
      <c r="H23" s="2">
        <f t="shared" si="0"/>
        <v>1</v>
      </c>
      <c r="I23">
        <f t="shared" si="1"/>
        <v>0</v>
      </c>
      <c r="J23">
        <f t="shared" si="2"/>
        <v>3</v>
      </c>
      <c r="K23">
        <f t="shared" si="3"/>
        <v>1</v>
      </c>
      <c r="L23" s="13">
        <f>Sheet1!$B$17+(Sheet1!$B$18*tips!F23)+(Sheet1!$B$19*tips!G23)+(Sheet1!$B$20*tips!H23)+(Sheet1!$B$21*tips!I23)+(Sheet1!$B$22*tips!J23)+(Sheet1!$B$23*tips!K23)</f>
        <v>2.9806261322486645</v>
      </c>
      <c r="M23" s="13">
        <f t="shared" si="5"/>
        <v>0.23062613224866446</v>
      </c>
      <c r="N23" s="13">
        <f t="shared" si="4"/>
        <v>5.3188412875978468E-2</v>
      </c>
      <c r="R23" s="1" t="s">
        <v>3</v>
      </c>
      <c r="S23" s="1" t="s">
        <v>16</v>
      </c>
    </row>
    <row r="24" spans="1:19">
      <c r="A24" t="s">
        <v>7</v>
      </c>
      <c r="B24" t="s">
        <v>8</v>
      </c>
      <c r="C24" t="s">
        <v>21</v>
      </c>
      <c r="D24" t="s">
        <v>10</v>
      </c>
      <c r="E24">
        <v>2.23</v>
      </c>
      <c r="F24">
        <v>2</v>
      </c>
      <c r="G24">
        <v>15.77</v>
      </c>
      <c r="H24" s="2">
        <f t="shared" si="0"/>
        <v>1</v>
      </c>
      <c r="I24">
        <f t="shared" si="1"/>
        <v>0</v>
      </c>
      <c r="J24">
        <f t="shared" si="2"/>
        <v>3</v>
      </c>
      <c r="K24">
        <f t="shared" si="3"/>
        <v>1</v>
      </c>
      <c r="L24" s="13">
        <f>Sheet1!$B$17+(Sheet1!$B$18*tips!F24)+(Sheet1!$B$19*tips!G24)+(Sheet1!$B$20*tips!H24)+(Sheet1!$B$21*tips!I24)+(Sheet1!$B$22*tips!J24)+(Sheet1!$B$23*tips!K24)</f>
        <v>2.5545550281430227</v>
      </c>
      <c r="M24" s="13">
        <f t="shared" si="5"/>
        <v>0.32455502814302273</v>
      </c>
      <c r="N24" s="13">
        <f t="shared" si="4"/>
        <v>0.10533596629291828</v>
      </c>
      <c r="R24" s="1" t="s">
        <v>4</v>
      </c>
      <c r="S24" s="1" t="s">
        <v>17</v>
      </c>
    </row>
    <row r="25" spans="1:19">
      <c r="A25" t="s">
        <v>11</v>
      </c>
      <c r="B25" t="s">
        <v>8</v>
      </c>
      <c r="C25" t="s">
        <v>21</v>
      </c>
      <c r="D25" t="s">
        <v>10</v>
      </c>
      <c r="E25">
        <v>7.58</v>
      </c>
      <c r="F25">
        <v>4</v>
      </c>
      <c r="G25">
        <v>39.42</v>
      </c>
      <c r="H25" s="2">
        <f t="shared" si="0"/>
        <v>0</v>
      </c>
      <c r="I25">
        <f t="shared" si="1"/>
        <v>0</v>
      </c>
      <c r="J25">
        <f t="shared" si="2"/>
        <v>3</v>
      </c>
      <c r="K25">
        <f t="shared" si="3"/>
        <v>1</v>
      </c>
      <c r="L25" s="13">
        <f>Sheet1!$B$17+(Sheet1!$B$18*tips!F25)+(Sheet1!$B$19*tips!G25)+(Sheet1!$B$20*tips!H25)+(Sheet1!$B$21*tips!I25)+(Sheet1!$B$22*tips!J25)+(Sheet1!$B$23*tips!K25)</f>
        <v>5.0971834695366924</v>
      </c>
      <c r="M25" s="13">
        <f t="shared" si="5"/>
        <v>-2.4828165304633076</v>
      </c>
      <c r="N25" s="13">
        <f t="shared" si="4"/>
        <v>6.1643779239418564</v>
      </c>
      <c r="R25" s="1" t="s">
        <v>18</v>
      </c>
      <c r="S25" s="1" t="s">
        <v>19</v>
      </c>
    </row>
    <row r="26" spans="1:19">
      <c r="A26" t="s">
        <v>11</v>
      </c>
      <c r="B26" t="s">
        <v>8</v>
      </c>
      <c r="C26" t="s">
        <v>21</v>
      </c>
      <c r="D26" t="s">
        <v>10</v>
      </c>
      <c r="E26">
        <v>3.18</v>
      </c>
      <c r="F26">
        <v>2</v>
      </c>
      <c r="G26">
        <v>19.82</v>
      </c>
      <c r="H26" s="2">
        <f t="shared" si="0"/>
        <v>0</v>
      </c>
      <c r="I26">
        <f t="shared" si="1"/>
        <v>0</v>
      </c>
      <c r="J26">
        <f t="shared" si="2"/>
        <v>3</v>
      </c>
      <c r="K26">
        <f t="shared" si="3"/>
        <v>1</v>
      </c>
      <c r="L26" s="13">
        <f>Sheet1!$B$17+(Sheet1!$B$18*tips!F26)+(Sheet1!$B$19*tips!G26)+(Sheet1!$B$20*tips!H26)+(Sheet1!$B$21*tips!I26)+(Sheet1!$B$22*tips!J26)+(Sheet1!$B$23*tips!K26)</f>
        <v>2.8996897637367951</v>
      </c>
      <c r="M26" s="13">
        <f t="shared" si="5"/>
        <v>-0.28031023626320506</v>
      </c>
      <c r="N26" s="13">
        <f t="shared" si="4"/>
        <v>7.8573828553933842E-2</v>
      </c>
      <c r="R26" s="1" t="s">
        <v>6</v>
      </c>
      <c r="S26" s="1" t="s">
        <v>20</v>
      </c>
    </row>
    <row r="27" spans="1:19">
      <c r="A27" t="s">
        <v>11</v>
      </c>
      <c r="B27" t="s">
        <v>8</v>
      </c>
      <c r="C27" t="s">
        <v>21</v>
      </c>
      <c r="D27" t="s">
        <v>10</v>
      </c>
      <c r="E27">
        <v>2.34</v>
      </c>
      <c r="F27">
        <v>4</v>
      </c>
      <c r="G27">
        <v>17.809999999999999</v>
      </c>
      <c r="H27" s="2">
        <f t="shared" si="0"/>
        <v>0</v>
      </c>
      <c r="I27">
        <f t="shared" si="1"/>
        <v>0</v>
      </c>
      <c r="J27">
        <f t="shared" si="2"/>
        <v>3</v>
      </c>
      <c r="K27">
        <f t="shared" si="3"/>
        <v>1</v>
      </c>
      <c r="L27" s="13">
        <f>Sheet1!$B$17+(Sheet1!$B$18*tips!F27)+(Sheet1!$B$19*tips!G27)+(Sheet1!$B$20*tips!H27)+(Sheet1!$B$21*tips!I27)+(Sheet1!$B$22*tips!J27)+(Sheet1!$B$23*tips!K27)</f>
        <v>3.0601488324298507</v>
      </c>
      <c r="M27" s="13">
        <f t="shared" si="5"/>
        <v>0.72014883242985084</v>
      </c>
      <c r="N27" s="13">
        <f t="shared" si="4"/>
        <v>0.5186143408500774</v>
      </c>
    </row>
    <row r="28" spans="1:19">
      <c r="A28" t="s">
        <v>11</v>
      </c>
      <c r="B28" t="s">
        <v>8</v>
      </c>
      <c r="C28" t="s">
        <v>21</v>
      </c>
      <c r="D28" t="s">
        <v>10</v>
      </c>
      <c r="E28">
        <v>2</v>
      </c>
      <c r="F28">
        <v>2</v>
      </c>
      <c r="G28">
        <v>13.37</v>
      </c>
      <c r="H28" s="2">
        <f t="shared" si="0"/>
        <v>0</v>
      </c>
      <c r="I28">
        <f t="shared" si="1"/>
        <v>0</v>
      </c>
      <c r="J28">
        <f t="shared" si="2"/>
        <v>3</v>
      </c>
      <c r="K28">
        <f t="shared" si="3"/>
        <v>1</v>
      </c>
      <c r="L28" s="13">
        <f>Sheet1!$B$17+(Sheet1!$B$18*tips!F28)+(Sheet1!$B$19*tips!G28)+(Sheet1!$B$20*tips!H28)+(Sheet1!$B$21*tips!I28)+(Sheet1!$B$22*tips!J28)+(Sheet1!$B$23*tips!K28)</f>
        <v>2.2916900687187884</v>
      </c>
      <c r="M28" s="13">
        <f t="shared" si="5"/>
        <v>0.29169006871878844</v>
      </c>
      <c r="N28" s="13">
        <f t="shared" si="4"/>
        <v>8.5083096189171523E-2</v>
      </c>
    </row>
    <row r="29" spans="1:19">
      <c r="A29" t="s">
        <v>11</v>
      </c>
      <c r="B29" t="s">
        <v>8</v>
      </c>
      <c r="C29" t="s">
        <v>21</v>
      </c>
      <c r="D29" t="s">
        <v>10</v>
      </c>
      <c r="E29">
        <v>2</v>
      </c>
      <c r="F29">
        <v>2</v>
      </c>
      <c r="G29">
        <v>12.69</v>
      </c>
      <c r="H29" s="2">
        <f t="shared" si="0"/>
        <v>0</v>
      </c>
      <c r="I29">
        <f t="shared" si="1"/>
        <v>0</v>
      </c>
      <c r="J29">
        <f t="shared" si="2"/>
        <v>3</v>
      </c>
      <c r="K29">
        <f t="shared" si="3"/>
        <v>1</v>
      </c>
      <c r="L29" s="13">
        <f>Sheet1!$B$17+(Sheet1!$B$18*tips!F29)+(Sheet1!$B$19*tips!G29)+(Sheet1!$B$20*tips!H29)+(Sheet1!$B$21*tips!I29)+(Sheet1!$B$22*tips!J29)+(Sheet1!$B$23*tips!K29)</f>
        <v>2.2275908760657273</v>
      </c>
      <c r="M29" s="13">
        <f t="shared" si="5"/>
        <v>0.22759087606572725</v>
      </c>
      <c r="N29" s="13">
        <f t="shared" si="4"/>
        <v>5.1797606868365223E-2</v>
      </c>
    </row>
    <row r="30" spans="1:19">
      <c r="A30" t="s">
        <v>11</v>
      </c>
      <c r="B30" t="s">
        <v>8</v>
      </c>
      <c r="C30" t="s">
        <v>21</v>
      </c>
      <c r="D30" t="s">
        <v>10</v>
      </c>
      <c r="E30">
        <v>4.3</v>
      </c>
      <c r="F30">
        <v>2</v>
      </c>
      <c r="G30">
        <v>21.7</v>
      </c>
      <c r="H30" s="2">
        <f t="shared" si="0"/>
        <v>0</v>
      </c>
      <c r="I30">
        <f t="shared" si="1"/>
        <v>0</v>
      </c>
      <c r="J30">
        <f t="shared" si="2"/>
        <v>3</v>
      </c>
      <c r="K30">
        <f t="shared" si="3"/>
        <v>1</v>
      </c>
      <c r="L30" s="13">
        <f>Sheet1!$B$17+(Sheet1!$B$18*tips!F30)+(Sheet1!$B$19*tips!G30)+(Sheet1!$B$20*tips!H30)+(Sheet1!$B$21*tips!I30)+(Sheet1!$B$22*tips!J30)+(Sheet1!$B$23*tips!K30)</f>
        <v>3.0769051787187878</v>
      </c>
      <c r="M30" s="13">
        <f t="shared" si="5"/>
        <v>-1.2230948212812121</v>
      </c>
      <c r="N30" s="13">
        <f t="shared" si="4"/>
        <v>1.49596094184492</v>
      </c>
    </row>
    <row r="31" spans="1:19">
      <c r="A31" t="s">
        <v>7</v>
      </c>
      <c r="B31" t="s">
        <v>8</v>
      </c>
      <c r="C31" t="s">
        <v>21</v>
      </c>
      <c r="D31" t="s">
        <v>10</v>
      </c>
      <c r="E31">
        <v>3</v>
      </c>
      <c r="F31">
        <v>2</v>
      </c>
      <c r="G31">
        <v>19.649999999999999</v>
      </c>
      <c r="H31" s="2">
        <f t="shared" si="0"/>
        <v>1</v>
      </c>
      <c r="I31">
        <f t="shared" si="1"/>
        <v>0</v>
      </c>
      <c r="J31">
        <f t="shared" si="2"/>
        <v>3</v>
      </c>
      <c r="K31">
        <f t="shared" si="3"/>
        <v>1</v>
      </c>
      <c r="L31" s="13">
        <f>Sheet1!$B$17+(Sheet1!$B$18*tips!F31)+(Sheet1!$B$19*tips!G31)+(Sheet1!$B$20*tips!H31)+(Sheet1!$B$21*tips!I31)+(Sheet1!$B$22*tips!J31)+(Sheet1!$B$23*tips!K31)</f>
        <v>2.9202974803399009</v>
      </c>
      <c r="M31" s="13">
        <f t="shared" si="5"/>
        <v>-7.9702519660099114E-2</v>
      </c>
      <c r="N31" s="13">
        <f t="shared" si="4"/>
        <v>6.352491640168486E-3</v>
      </c>
    </row>
    <row r="32" spans="1:19">
      <c r="A32" t="s">
        <v>11</v>
      </c>
      <c r="B32" t="s">
        <v>8</v>
      </c>
      <c r="C32" t="s">
        <v>21</v>
      </c>
      <c r="D32" t="s">
        <v>10</v>
      </c>
      <c r="E32">
        <v>1.45</v>
      </c>
      <c r="F32">
        <v>2</v>
      </c>
      <c r="G32">
        <v>9.5500000000000007</v>
      </c>
      <c r="H32" s="2">
        <f t="shared" si="0"/>
        <v>0</v>
      </c>
      <c r="I32">
        <f t="shared" si="1"/>
        <v>0</v>
      </c>
      <c r="J32">
        <f t="shared" si="2"/>
        <v>3</v>
      </c>
      <c r="K32">
        <f t="shared" si="3"/>
        <v>1</v>
      </c>
      <c r="L32" s="13">
        <f>Sheet1!$B$17+(Sheet1!$B$18*tips!F32)+(Sheet1!$B$19*tips!G32)+(Sheet1!$B$20*tips!H32)+(Sheet1!$B$21*tips!I32)+(Sheet1!$B$22*tips!J32)+(Sheet1!$B$23*tips!K32)</f>
        <v>1.9316034276383569</v>
      </c>
      <c r="M32" s="13">
        <f t="shared" si="5"/>
        <v>0.48160342763835695</v>
      </c>
      <c r="N32" s="13">
        <f t="shared" si="4"/>
        <v>0.23194186151301413</v>
      </c>
    </row>
    <row r="33" spans="1:14">
      <c r="A33" t="s">
        <v>11</v>
      </c>
      <c r="B33" t="s">
        <v>8</v>
      </c>
      <c r="C33" t="s">
        <v>21</v>
      </c>
      <c r="D33" t="s">
        <v>10</v>
      </c>
      <c r="E33">
        <v>2.5</v>
      </c>
      <c r="F33">
        <v>4</v>
      </c>
      <c r="G33">
        <v>18.350000000000001</v>
      </c>
      <c r="H33" s="2">
        <f t="shared" si="0"/>
        <v>0</v>
      </c>
      <c r="I33">
        <f t="shared" si="1"/>
        <v>0</v>
      </c>
      <c r="J33">
        <f t="shared" si="2"/>
        <v>3</v>
      </c>
      <c r="K33">
        <f t="shared" si="3"/>
        <v>1</v>
      </c>
      <c r="L33" s="13">
        <f>Sheet1!$B$17+(Sheet1!$B$18*tips!F33)+(Sheet1!$B$19*tips!G33)+(Sheet1!$B$20*tips!H33)+(Sheet1!$B$21*tips!I33)+(Sheet1!$B$22*tips!J33)+(Sheet1!$B$23*tips!K33)</f>
        <v>3.1110511324778707</v>
      </c>
      <c r="M33" s="13">
        <f t="shared" si="5"/>
        <v>0.61105113247787068</v>
      </c>
      <c r="N33" s="13">
        <f t="shared" si="4"/>
        <v>0.37338348650248826</v>
      </c>
    </row>
    <row r="34" spans="1:14">
      <c r="A34" t="s">
        <v>7</v>
      </c>
      <c r="B34" t="s">
        <v>8</v>
      </c>
      <c r="C34" t="s">
        <v>21</v>
      </c>
      <c r="D34" t="s">
        <v>10</v>
      </c>
      <c r="E34">
        <v>3</v>
      </c>
      <c r="F34">
        <v>2</v>
      </c>
      <c r="G34">
        <v>15.06</v>
      </c>
      <c r="H34" s="2">
        <f t="shared" ref="H34:H66" si="6">IF(A34="Female",1,0)</f>
        <v>1</v>
      </c>
      <c r="I34">
        <f t="shared" si="1"/>
        <v>0</v>
      </c>
      <c r="J34">
        <f t="shared" si="2"/>
        <v>3</v>
      </c>
      <c r="K34">
        <f t="shared" si="3"/>
        <v>1</v>
      </c>
      <c r="L34" s="13">
        <f>Sheet1!$B$17+(Sheet1!$B$18*tips!F34)+(Sheet1!$B$19*tips!G34)+(Sheet1!$B$20*tips!H34)+(Sheet1!$B$21*tips!I34)+(Sheet1!$B$22*tips!J34)+(Sheet1!$B$23*tips!K34)</f>
        <v>2.4876279299317385</v>
      </c>
      <c r="M34" s="13">
        <f t="shared" si="5"/>
        <v>-0.51237207006826146</v>
      </c>
      <c r="N34" s="13">
        <f t="shared" si="4"/>
        <v>0.26252513818603546</v>
      </c>
    </row>
    <row r="35" spans="1:14">
      <c r="A35" t="s">
        <v>7</v>
      </c>
      <c r="B35" t="s">
        <v>8</v>
      </c>
      <c r="C35" t="s">
        <v>21</v>
      </c>
      <c r="D35" t="s">
        <v>10</v>
      </c>
      <c r="E35">
        <v>2.4500000000000002</v>
      </c>
      <c r="F35">
        <v>4</v>
      </c>
      <c r="G35">
        <v>20.69</v>
      </c>
      <c r="H35" s="2">
        <f t="shared" si="6"/>
        <v>1</v>
      </c>
      <c r="I35">
        <f t="shared" si="1"/>
        <v>0</v>
      </c>
      <c r="J35">
        <f t="shared" si="2"/>
        <v>3</v>
      </c>
      <c r="K35">
        <f t="shared" si="3"/>
        <v>1</v>
      </c>
      <c r="L35" s="13">
        <f>Sheet1!$B$17+(Sheet1!$B$18*tips!F35)+(Sheet1!$B$19*tips!G35)+(Sheet1!$B$20*tips!H35)+(Sheet1!$B$21*tips!I35)+(Sheet1!$B$22*tips!J35)+(Sheet1!$B$23*tips!K35)</f>
        <v>3.3682602807856581</v>
      </c>
      <c r="M35" s="13">
        <f t="shared" si="5"/>
        <v>0.91826028078565791</v>
      </c>
      <c r="N35" s="13">
        <f t="shared" si="4"/>
        <v>0.84320194326855535</v>
      </c>
    </row>
    <row r="36" spans="1:14">
      <c r="A36" t="s">
        <v>11</v>
      </c>
      <c r="B36" t="s">
        <v>8</v>
      </c>
      <c r="C36" t="s">
        <v>21</v>
      </c>
      <c r="D36" t="s">
        <v>10</v>
      </c>
      <c r="E36">
        <v>3.27</v>
      </c>
      <c r="F36">
        <v>2</v>
      </c>
      <c r="G36">
        <v>17.78</v>
      </c>
      <c r="H36" s="2">
        <f t="shared" si="6"/>
        <v>0</v>
      </c>
      <c r="I36">
        <f t="shared" si="1"/>
        <v>0</v>
      </c>
      <c r="J36">
        <f t="shared" si="2"/>
        <v>3</v>
      </c>
      <c r="K36">
        <f t="shared" si="3"/>
        <v>1</v>
      </c>
      <c r="L36" s="13">
        <f>Sheet1!$B$17+(Sheet1!$B$18*tips!F36)+(Sheet1!$B$19*tips!G36)+(Sheet1!$B$20*tips!H36)+(Sheet1!$B$21*tips!I36)+(Sheet1!$B$22*tips!J36)+(Sheet1!$B$23*tips!K36)</f>
        <v>2.707392185777612</v>
      </c>
      <c r="M36" s="13">
        <f t="shared" si="5"/>
        <v>-0.56260781422238804</v>
      </c>
      <c r="N36" s="13">
        <f t="shared" si="4"/>
        <v>0.3165275526240931</v>
      </c>
    </row>
    <row r="37" spans="1:14">
      <c r="A37" t="s">
        <v>11</v>
      </c>
      <c r="B37" t="s">
        <v>8</v>
      </c>
      <c r="C37" t="s">
        <v>21</v>
      </c>
      <c r="D37" t="s">
        <v>10</v>
      </c>
      <c r="E37">
        <v>3.6</v>
      </c>
      <c r="F37">
        <v>3</v>
      </c>
      <c r="G37">
        <v>24.06</v>
      </c>
      <c r="H37" s="2">
        <f t="shared" si="6"/>
        <v>0</v>
      </c>
      <c r="I37">
        <f t="shared" si="1"/>
        <v>0</v>
      </c>
      <c r="J37">
        <f t="shared" si="2"/>
        <v>3</v>
      </c>
      <c r="K37">
        <f t="shared" si="3"/>
        <v>1</v>
      </c>
      <c r="L37" s="13">
        <f>Sheet1!$B$17+(Sheet1!$B$18*tips!F37)+(Sheet1!$B$19*tips!G37)+(Sheet1!$B$20*tips!H37)+(Sheet1!$B$21*tips!I37)+(Sheet1!$B$22*tips!J37)+(Sheet1!$B$23*tips!K37)</f>
        <v>3.474331453179361</v>
      </c>
      <c r="M37" s="13">
        <f t="shared" si="5"/>
        <v>-0.1256685468206391</v>
      </c>
      <c r="N37" s="13">
        <f t="shared" si="4"/>
        <v>1.5792583660011163E-2</v>
      </c>
    </row>
    <row r="38" spans="1:14">
      <c r="A38" t="s">
        <v>11</v>
      </c>
      <c r="B38" t="s">
        <v>8</v>
      </c>
      <c r="C38" t="s">
        <v>21</v>
      </c>
      <c r="D38" t="s">
        <v>10</v>
      </c>
      <c r="E38">
        <v>2</v>
      </c>
      <c r="F38">
        <v>3</v>
      </c>
      <c r="G38">
        <v>16.309999999999999</v>
      </c>
      <c r="H38" s="2">
        <f t="shared" si="6"/>
        <v>0</v>
      </c>
      <c r="I38">
        <f t="shared" si="1"/>
        <v>0</v>
      </c>
      <c r="J38">
        <f t="shared" si="2"/>
        <v>3</v>
      </c>
      <c r="K38">
        <f t="shared" si="3"/>
        <v>1</v>
      </c>
      <c r="L38" s="13">
        <f>Sheet1!$B$17+(Sheet1!$B$18*tips!F38)+(Sheet1!$B$19*tips!G38)+(Sheet1!$B$20*tips!H38)+(Sheet1!$B$21*tips!I38)+(Sheet1!$B$22*tips!J38)+(Sheet1!$B$23*tips!K38)</f>
        <v>2.7437891839716788</v>
      </c>
      <c r="M38" s="13">
        <f t="shared" si="5"/>
        <v>0.74378918397167881</v>
      </c>
      <c r="N38" s="13">
        <f t="shared" si="4"/>
        <v>0.55322235019325583</v>
      </c>
    </row>
    <row r="39" spans="1:14">
      <c r="A39" t="s">
        <v>7</v>
      </c>
      <c r="B39" t="s">
        <v>8</v>
      </c>
      <c r="C39" t="s">
        <v>21</v>
      </c>
      <c r="D39" t="s">
        <v>10</v>
      </c>
      <c r="E39">
        <v>3.07</v>
      </c>
      <c r="F39">
        <v>3</v>
      </c>
      <c r="G39">
        <v>16.93</v>
      </c>
      <c r="H39" s="2">
        <f t="shared" si="6"/>
        <v>1</v>
      </c>
      <c r="I39">
        <f t="shared" si="1"/>
        <v>0</v>
      </c>
      <c r="J39">
        <f t="shared" si="2"/>
        <v>3</v>
      </c>
      <c r="K39">
        <f t="shared" si="3"/>
        <v>1</v>
      </c>
      <c r="L39" s="13">
        <f>Sheet1!$B$17+(Sheet1!$B$18*tips!F39)+(Sheet1!$B$19*tips!G39)+(Sheet1!$B$20*tips!H39)+(Sheet1!$B$21*tips!I39)+(Sheet1!$B$22*tips!J39)+(Sheet1!$B$23*tips!K39)</f>
        <v>2.8388650802746644</v>
      </c>
      <c r="M39" s="13">
        <f t="shared" si="5"/>
        <v>-0.2311349197253354</v>
      </c>
      <c r="N39" s="13">
        <f t="shared" si="4"/>
        <v>5.3423351116437236E-2</v>
      </c>
    </row>
    <row r="40" spans="1:14">
      <c r="A40" t="s">
        <v>11</v>
      </c>
      <c r="B40" t="s">
        <v>8</v>
      </c>
      <c r="C40" t="s">
        <v>21</v>
      </c>
      <c r="D40" t="s">
        <v>10</v>
      </c>
      <c r="E40">
        <v>2.31</v>
      </c>
      <c r="F40">
        <v>3</v>
      </c>
      <c r="G40">
        <v>18.690000000000001</v>
      </c>
      <c r="H40" s="2">
        <f t="shared" si="6"/>
        <v>0</v>
      </c>
      <c r="I40">
        <f t="shared" si="1"/>
        <v>0</v>
      </c>
      <c r="J40">
        <f t="shared" si="2"/>
        <v>3</v>
      </c>
      <c r="K40">
        <f t="shared" si="3"/>
        <v>1</v>
      </c>
      <c r="L40" s="13">
        <f>Sheet1!$B$17+(Sheet1!$B$18*tips!F40)+(Sheet1!$B$19*tips!G40)+(Sheet1!$B$20*tips!H40)+(Sheet1!$B$21*tips!I40)+(Sheet1!$B$22*tips!J40)+(Sheet1!$B$23*tips!K40)</f>
        <v>2.968136358257393</v>
      </c>
      <c r="M40" s="13">
        <f t="shared" si="5"/>
        <v>0.65813635825739292</v>
      </c>
      <c r="N40" s="13">
        <f t="shared" si="4"/>
        <v>0.43314346606030346</v>
      </c>
    </row>
    <row r="41" spans="1:14">
      <c r="A41" t="s">
        <v>11</v>
      </c>
      <c r="B41" t="s">
        <v>8</v>
      </c>
      <c r="C41" t="s">
        <v>21</v>
      </c>
      <c r="D41" t="s">
        <v>10</v>
      </c>
      <c r="E41">
        <v>5</v>
      </c>
      <c r="F41">
        <v>3</v>
      </c>
      <c r="G41">
        <v>31.27</v>
      </c>
      <c r="H41" s="2">
        <f t="shared" si="6"/>
        <v>0</v>
      </c>
      <c r="I41">
        <f t="shared" si="1"/>
        <v>0</v>
      </c>
      <c r="J41">
        <f t="shared" si="2"/>
        <v>3</v>
      </c>
      <c r="K41">
        <f t="shared" si="3"/>
        <v>1</v>
      </c>
      <c r="L41" s="13">
        <f>Sheet1!$B$17+(Sheet1!$B$18*tips!F41)+(Sheet1!$B$19*tips!G41)+(Sheet1!$B$20*tips!H41)+(Sheet1!$B$21*tips!I41)+(Sheet1!$B$22*tips!J41)+(Sheet1!$B$23*tips!K41)</f>
        <v>4.1539714223390245</v>
      </c>
      <c r="M41" s="13">
        <f t="shared" si="5"/>
        <v>-0.8460285776609755</v>
      </c>
      <c r="N41" s="13">
        <f t="shared" si="4"/>
        <v>0.71576435421905327</v>
      </c>
    </row>
    <row r="42" spans="1:14">
      <c r="A42" t="s">
        <v>11</v>
      </c>
      <c r="B42" t="s">
        <v>8</v>
      </c>
      <c r="C42" t="s">
        <v>21</v>
      </c>
      <c r="D42" t="s">
        <v>10</v>
      </c>
      <c r="E42">
        <v>2.2400000000000002</v>
      </c>
      <c r="F42">
        <v>3</v>
      </c>
      <c r="G42">
        <v>16.04</v>
      </c>
      <c r="H42" s="2">
        <f t="shared" si="6"/>
        <v>0</v>
      </c>
      <c r="I42">
        <f t="shared" si="1"/>
        <v>0</v>
      </c>
      <c r="J42">
        <f t="shared" si="2"/>
        <v>3</v>
      </c>
      <c r="K42">
        <f t="shared" si="3"/>
        <v>1</v>
      </c>
      <c r="L42" s="13">
        <f>Sheet1!$B$17+(Sheet1!$B$18*tips!F42)+(Sheet1!$B$19*tips!G42)+(Sheet1!$B$20*tips!H42)+(Sheet1!$B$21*tips!I42)+(Sheet1!$B$22*tips!J42)+(Sheet1!$B$23*tips!K42)</f>
        <v>2.7183380339476693</v>
      </c>
      <c r="M42" s="13">
        <f t="shared" si="5"/>
        <v>0.47833803394766905</v>
      </c>
      <c r="N42" s="13">
        <f t="shared" si="4"/>
        <v>0.22880727472092138</v>
      </c>
    </row>
    <row r="43" spans="1:14">
      <c r="A43" t="s">
        <v>11</v>
      </c>
      <c r="B43" t="s">
        <v>8</v>
      </c>
      <c r="C43" t="s">
        <v>9</v>
      </c>
      <c r="D43" t="s">
        <v>10</v>
      </c>
      <c r="E43">
        <v>2.54</v>
      </c>
      <c r="F43">
        <v>2</v>
      </c>
      <c r="G43">
        <v>17.46</v>
      </c>
      <c r="H43" s="2">
        <f t="shared" si="6"/>
        <v>0</v>
      </c>
      <c r="I43">
        <f t="shared" si="1"/>
        <v>0</v>
      </c>
      <c r="J43">
        <f t="shared" si="2"/>
        <v>4</v>
      </c>
      <c r="K43">
        <f t="shared" si="3"/>
        <v>1</v>
      </c>
      <c r="L43" s="13">
        <f>Sheet1!$B$17+(Sheet1!$B$18*tips!F43)+(Sheet1!$B$19*tips!G43)+(Sheet1!$B$20*tips!H43)+(Sheet1!$B$21*tips!I43)+(Sheet1!$B$22*tips!J43)+(Sheet1!$B$23*tips!K43)</f>
        <v>2.7302331648061662</v>
      </c>
      <c r="M43" s="13">
        <f t="shared" si="5"/>
        <v>0.19023316480616614</v>
      </c>
      <c r="N43" s="13">
        <f t="shared" si="4"/>
        <v>3.6188656992169971E-2</v>
      </c>
    </row>
    <row r="44" spans="1:14">
      <c r="A44" t="s">
        <v>11</v>
      </c>
      <c r="B44" t="s">
        <v>8</v>
      </c>
      <c r="C44" t="s">
        <v>9</v>
      </c>
      <c r="D44" t="s">
        <v>10</v>
      </c>
      <c r="E44">
        <v>3.06</v>
      </c>
      <c r="F44">
        <v>2</v>
      </c>
      <c r="G44">
        <v>13.94</v>
      </c>
      <c r="H44" s="2">
        <f t="shared" si="6"/>
        <v>0</v>
      </c>
      <c r="I44">
        <f t="shared" si="1"/>
        <v>0</v>
      </c>
      <c r="J44">
        <f t="shared" si="2"/>
        <v>4</v>
      </c>
      <c r="K44">
        <f t="shared" si="3"/>
        <v>1</v>
      </c>
      <c r="L44" s="13">
        <f>Sheet1!$B$17+(Sheet1!$B$18*tips!F44)+(Sheet1!$B$19*tips!G44)+(Sheet1!$B$20*tips!H44)+(Sheet1!$B$21*tips!I44)+(Sheet1!$B$22*tips!J44)+(Sheet1!$B$23*tips!K44)</f>
        <v>2.398425579307967</v>
      </c>
      <c r="M44" s="13">
        <f t="shared" si="5"/>
        <v>-0.66157442069203309</v>
      </c>
      <c r="N44" s="13">
        <f t="shared" si="4"/>
        <v>0.43768071411399917</v>
      </c>
    </row>
    <row r="45" spans="1:14">
      <c r="A45" t="s">
        <v>11</v>
      </c>
      <c r="B45" t="s">
        <v>8</v>
      </c>
      <c r="C45" t="s">
        <v>9</v>
      </c>
      <c r="D45" t="s">
        <v>10</v>
      </c>
      <c r="E45">
        <v>1.32</v>
      </c>
      <c r="F45">
        <v>2</v>
      </c>
      <c r="G45">
        <v>9.68</v>
      </c>
      <c r="H45" s="2">
        <f t="shared" si="6"/>
        <v>0</v>
      </c>
      <c r="I45">
        <f t="shared" si="1"/>
        <v>0</v>
      </c>
      <c r="J45">
        <f t="shared" si="2"/>
        <v>4</v>
      </c>
      <c r="K45">
        <f t="shared" si="3"/>
        <v>1</v>
      </c>
      <c r="L45" s="13">
        <f>Sheet1!$B$17+(Sheet1!$B$18*tips!F45)+(Sheet1!$B$19*tips!G45)+(Sheet1!$B$20*tips!H45)+(Sheet1!$B$21*tips!I45)+(Sheet1!$B$22*tips!J45)+(Sheet1!$B$23*tips!K45)</f>
        <v>1.9968629900402604</v>
      </c>
      <c r="M45" s="13">
        <f t="shared" si="5"/>
        <v>0.67686299004026029</v>
      </c>
      <c r="N45" s="13">
        <f t="shared" si="4"/>
        <v>0.45814350728624148</v>
      </c>
    </row>
    <row r="46" spans="1:14">
      <c r="A46" t="s">
        <v>11</v>
      </c>
      <c r="B46" t="s">
        <v>8</v>
      </c>
      <c r="C46" t="s">
        <v>9</v>
      </c>
      <c r="D46" t="s">
        <v>10</v>
      </c>
      <c r="E46">
        <v>5.6</v>
      </c>
      <c r="F46">
        <v>4</v>
      </c>
      <c r="G46">
        <v>30.4</v>
      </c>
      <c r="H46" s="2">
        <f t="shared" si="6"/>
        <v>0</v>
      </c>
      <c r="I46">
        <f t="shared" si="1"/>
        <v>0</v>
      </c>
      <c r="J46">
        <f t="shared" si="2"/>
        <v>4</v>
      </c>
      <c r="K46">
        <f t="shared" si="3"/>
        <v>1</v>
      </c>
      <c r="L46" s="13">
        <f>Sheet1!$B$17+(Sheet1!$B$18*tips!F46)+(Sheet1!$B$19*tips!G46)+(Sheet1!$B$20*tips!H46)+(Sheet1!$B$21*tips!I46)+(Sheet1!$B$22*tips!J46)+(Sheet1!$B$23*tips!K46)</f>
        <v>4.2999318366804928</v>
      </c>
      <c r="M46" s="13">
        <f t="shared" si="5"/>
        <v>-1.3000681633195068</v>
      </c>
      <c r="N46" s="13">
        <f t="shared" si="4"/>
        <v>1.6901772292769559</v>
      </c>
    </row>
    <row r="47" spans="1:14">
      <c r="A47" t="s">
        <v>11</v>
      </c>
      <c r="B47" t="s">
        <v>8</v>
      </c>
      <c r="C47" t="s">
        <v>9</v>
      </c>
      <c r="D47" t="s">
        <v>10</v>
      </c>
      <c r="E47">
        <v>3</v>
      </c>
      <c r="F47">
        <v>2</v>
      </c>
      <c r="G47">
        <v>18.29</v>
      </c>
      <c r="H47" s="2">
        <f t="shared" si="6"/>
        <v>0</v>
      </c>
      <c r="I47">
        <f t="shared" si="1"/>
        <v>0</v>
      </c>
      <c r="J47">
        <f t="shared" si="2"/>
        <v>4</v>
      </c>
      <c r="K47">
        <f t="shared" si="3"/>
        <v>1</v>
      </c>
      <c r="L47" s="13">
        <f>Sheet1!$B$17+(Sheet1!$B$18*tips!F47)+(Sheet1!$B$19*tips!G47)+(Sheet1!$B$20*tips!H47)+(Sheet1!$B$21*tips!I47)+(Sheet1!$B$22*tips!J47)+(Sheet1!$B$23*tips!K47)</f>
        <v>2.8084718852503432</v>
      </c>
      <c r="M47" s="13">
        <f t="shared" si="5"/>
        <v>-0.19152811474965681</v>
      </c>
      <c r="N47" s="13">
        <f t="shared" si="4"/>
        <v>3.6683018739557705E-2</v>
      </c>
    </row>
    <row r="48" spans="1:14">
      <c r="A48" t="s">
        <v>11</v>
      </c>
      <c r="B48" t="s">
        <v>8</v>
      </c>
      <c r="C48" t="s">
        <v>9</v>
      </c>
      <c r="D48" t="s">
        <v>10</v>
      </c>
      <c r="E48">
        <v>5</v>
      </c>
      <c r="F48">
        <v>2</v>
      </c>
      <c r="G48">
        <v>22.23</v>
      </c>
      <c r="H48" s="2">
        <f t="shared" si="6"/>
        <v>0</v>
      </c>
      <c r="I48">
        <f t="shared" si="1"/>
        <v>0</v>
      </c>
      <c r="J48">
        <f t="shared" si="2"/>
        <v>4</v>
      </c>
      <c r="K48">
        <f t="shared" si="3"/>
        <v>1</v>
      </c>
      <c r="L48" s="13">
        <f>Sheet1!$B$17+(Sheet1!$B$18*tips!F48)+(Sheet1!$B$19*tips!G48)+(Sheet1!$B$20*tips!H48)+(Sheet1!$B$21*tips!I48)+(Sheet1!$B$22*tips!J48)+(Sheet1!$B$23*tips!K48)</f>
        <v>3.1798701485636682</v>
      </c>
      <c r="M48" s="13">
        <f t="shared" si="5"/>
        <v>-1.8201298514363318</v>
      </c>
      <c r="N48" s="13">
        <f t="shared" si="4"/>
        <v>3.312872676089643</v>
      </c>
    </row>
    <row r="49" spans="1:14">
      <c r="A49" t="s">
        <v>11</v>
      </c>
      <c r="B49" t="s">
        <v>8</v>
      </c>
      <c r="C49" t="s">
        <v>9</v>
      </c>
      <c r="D49" t="s">
        <v>10</v>
      </c>
      <c r="E49">
        <v>6</v>
      </c>
      <c r="F49">
        <v>4</v>
      </c>
      <c r="G49">
        <v>32.4</v>
      </c>
      <c r="H49" s="2">
        <f t="shared" si="6"/>
        <v>0</v>
      </c>
      <c r="I49">
        <f t="shared" si="1"/>
        <v>0</v>
      </c>
      <c r="J49">
        <f t="shared" si="2"/>
        <v>4</v>
      </c>
      <c r="K49">
        <f t="shared" si="3"/>
        <v>1</v>
      </c>
      <c r="L49" s="13">
        <f>Sheet1!$B$17+(Sheet1!$B$18*tips!F49)+(Sheet1!$B$19*tips!G49)+(Sheet1!$B$20*tips!H49)+(Sheet1!$B$21*tips!I49)+(Sheet1!$B$22*tips!J49)+(Sheet1!$B$23*tips!K49)</f>
        <v>4.4884588738953788</v>
      </c>
      <c r="M49" s="13">
        <f t="shared" si="5"/>
        <v>-1.5115411261046212</v>
      </c>
      <c r="N49" s="13">
        <f t="shared" si="4"/>
        <v>2.2847565759056265</v>
      </c>
    </row>
    <row r="50" spans="1:14">
      <c r="A50" t="s">
        <v>11</v>
      </c>
      <c r="B50" t="s">
        <v>8</v>
      </c>
      <c r="C50" t="s">
        <v>9</v>
      </c>
      <c r="D50" t="s">
        <v>10</v>
      </c>
      <c r="E50">
        <v>2.0499999999999998</v>
      </c>
      <c r="F50">
        <v>3</v>
      </c>
      <c r="G50">
        <v>28.55</v>
      </c>
      <c r="H50" s="2">
        <f t="shared" si="6"/>
        <v>0</v>
      </c>
      <c r="I50">
        <f t="shared" si="1"/>
        <v>0</v>
      </c>
      <c r="J50">
        <f t="shared" si="2"/>
        <v>4</v>
      </c>
      <c r="K50">
        <f t="shared" si="3"/>
        <v>1</v>
      </c>
      <c r="L50" s="13">
        <f>Sheet1!$B$17+(Sheet1!$B$18*tips!F50)+(Sheet1!$B$19*tips!G50)+(Sheet1!$B$20*tips!H50)+(Sheet1!$B$21*tips!I50)+(Sheet1!$B$22*tips!J50)+(Sheet1!$B$23*tips!K50)</f>
        <v>3.9505799567097153</v>
      </c>
      <c r="M50" s="13">
        <f t="shared" si="5"/>
        <v>1.9005799567097155</v>
      </c>
      <c r="N50" s="13">
        <f t="shared" si="4"/>
        <v>3.6122041718467037</v>
      </c>
    </row>
    <row r="51" spans="1:14">
      <c r="A51" t="s">
        <v>11</v>
      </c>
      <c r="B51" t="s">
        <v>8</v>
      </c>
      <c r="C51" t="s">
        <v>9</v>
      </c>
      <c r="D51" t="s">
        <v>10</v>
      </c>
      <c r="E51">
        <v>3</v>
      </c>
      <c r="F51">
        <v>2</v>
      </c>
      <c r="G51">
        <v>18.04</v>
      </c>
      <c r="H51" s="2">
        <f t="shared" si="6"/>
        <v>0</v>
      </c>
      <c r="I51">
        <f t="shared" si="1"/>
        <v>0</v>
      </c>
      <c r="J51">
        <f t="shared" si="2"/>
        <v>4</v>
      </c>
      <c r="K51">
        <f t="shared" si="3"/>
        <v>1</v>
      </c>
      <c r="L51" s="13">
        <f>Sheet1!$B$17+(Sheet1!$B$18*tips!F51)+(Sheet1!$B$19*tips!G51)+(Sheet1!$B$20*tips!H51)+(Sheet1!$B$21*tips!I51)+(Sheet1!$B$22*tips!J51)+(Sheet1!$B$23*tips!K51)</f>
        <v>2.7849060055984829</v>
      </c>
      <c r="M51" s="13">
        <f t="shared" si="5"/>
        <v>-0.21509399440151711</v>
      </c>
      <c r="N51" s="13">
        <f t="shared" si="4"/>
        <v>4.6265426427599871E-2</v>
      </c>
    </row>
    <row r="52" spans="1:14">
      <c r="A52" t="s">
        <v>11</v>
      </c>
      <c r="B52" t="s">
        <v>8</v>
      </c>
      <c r="C52" t="s">
        <v>9</v>
      </c>
      <c r="D52" t="s">
        <v>10</v>
      </c>
      <c r="E52">
        <v>2.5</v>
      </c>
      <c r="F52">
        <v>2</v>
      </c>
      <c r="G52">
        <v>12.54</v>
      </c>
      <c r="H52" s="2">
        <f t="shared" si="6"/>
        <v>0</v>
      </c>
      <c r="I52">
        <f t="shared" si="1"/>
        <v>0</v>
      </c>
      <c r="J52">
        <f t="shared" si="2"/>
        <v>4</v>
      </c>
      <c r="K52">
        <f t="shared" si="3"/>
        <v>1</v>
      </c>
      <c r="L52" s="13">
        <f>Sheet1!$B$17+(Sheet1!$B$18*tips!F52)+(Sheet1!$B$19*tips!G52)+(Sheet1!$B$20*tips!H52)+(Sheet1!$B$21*tips!I52)+(Sheet1!$B$22*tips!J52)+(Sheet1!$B$23*tips!K52)</f>
        <v>2.266456653257547</v>
      </c>
      <c r="M52" s="13">
        <f t="shared" si="5"/>
        <v>-0.23354334674245303</v>
      </c>
      <c r="N52" s="13">
        <f t="shared" si="4"/>
        <v>5.4542494807665647E-2</v>
      </c>
    </row>
    <row r="53" spans="1:14">
      <c r="A53" t="s">
        <v>7</v>
      </c>
      <c r="B53" t="s">
        <v>8</v>
      </c>
      <c r="C53" t="s">
        <v>9</v>
      </c>
      <c r="D53" t="s">
        <v>10</v>
      </c>
      <c r="E53">
        <v>2.6</v>
      </c>
      <c r="F53">
        <v>2</v>
      </c>
      <c r="G53">
        <v>10.29</v>
      </c>
      <c r="H53" s="2">
        <f t="shared" si="6"/>
        <v>1</v>
      </c>
      <c r="I53">
        <f t="shared" si="1"/>
        <v>0</v>
      </c>
      <c r="J53">
        <f t="shared" si="2"/>
        <v>4</v>
      </c>
      <c r="K53">
        <f t="shared" si="3"/>
        <v>1</v>
      </c>
      <c r="L53" s="13">
        <f>Sheet1!$B$17+(Sheet1!$B$18*tips!F53)+(Sheet1!$B$19*tips!G53)+(Sheet1!$B$20*tips!H53)+(Sheet1!$B$21*tips!I53)+(Sheet1!$B$22*tips!J53)+(Sheet1!$B$23*tips!K53)</f>
        <v>2.0909962511571716</v>
      </c>
      <c r="M53" s="13">
        <f t="shared" si="5"/>
        <v>-0.50900374884282851</v>
      </c>
      <c r="N53" s="13">
        <f t="shared" si="4"/>
        <v>0.25908481633605324</v>
      </c>
    </row>
    <row r="54" spans="1:14">
      <c r="A54" t="s">
        <v>7</v>
      </c>
      <c r="B54" t="s">
        <v>8</v>
      </c>
      <c r="C54" t="s">
        <v>9</v>
      </c>
      <c r="D54" t="s">
        <v>10</v>
      </c>
      <c r="E54">
        <v>5.2</v>
      </c>
      <c r="F54">
        <v>4</v>
      </c>
      <c r="G54">
        <v>34.81</v>
      </c>
      <c r="H54" s="2">
        <f t="shared" si="6"/>
        <v>1</v>
      </c>
      <c r="I54">
        <f t="shared" si="1"/>
        <v>0</v>
      </c>
      <c r="J54">
        <f t="shared" si="2"/>
        <v>4</v>
      </c>
      <c r="K54">
        <f t="shared" si="3"/>
        <v>1</v>
      </c>
      <c r="L54" s="13">
        <f>Sheet1!$B$17+(Sheet1!$B$18*tips!F54)+(Sheet1!$B$19*tips!G54)+(Sheet1!$B$20*tips!H54)+(Sheet1!$B$21*tips!I54)+(Sheet1!$B$22*tips!J54)+(Sheet1!$B$23*tips!K54)</f>
        <v>4.7522664685056872</v>
      </c>
      <c r="M54" s="13">
        <f t="shared" si="5"/>
        <v>-0.44773353149431294</v>
      </c>
      <c r="N54" s="13">
        <f t="shared" si="4"/>
        <v>0.20046531522436892</v>
      </c>
    </row>
    <row r="55" spans="1:14">
      <c r="A55" t="s">
        <v>11</v>
      </c>
      <c r="B55" t="s">
        <v>8</v>
      </c>
      <c r="C55" t="s">
        <v>9</v>
      </c>
      <c r="D55" t="s">
        <v>10</v>
      </c>
      <c r="E55">
        <v>1.56</v>
      </c>
      <c r="F55">
        <v>2</v>
      </c>
      <c r="G55">
        <v>9.94</v>
      </c>
      <c r="H55" s="2">
        <f t="shared" si="6"/>
        <v>0</v>
      </c>
      <c r="I55">
        <f t="shared" si="1"/>
        <v>0</v>
      </c>
      <c r="J55">
        <f t="shared" si="2"/>
        <v>4</v>
      </c>
      <c r="K55">
        <f t="shared" si="3"/>
        <v>1</v>
      </c>
      <c r="L55" s="13">
        <f>Sheet1!$B$17+(Sheet1!$B$18*tips!F55)+(Sheet1!$B$19*tips!G55)+(Sheet1!$B$20*tips!H55)+(Sheet1!$B$21*tips!I55)+(Sheet1!$B$22*tips!J55)+(Sheet1!$B$23*tips!K55)</f>
        <v>2.0213715048781955</v>
      </c>
      <c r="M55" s="13">
        <f t="shared" si="5"/>
        <v>0.46137150487819545</v>
      </c>
      <c r="N55" s="13">
        <f t="shared" si="4"/>
        <v>0.21286366551357072</v>
      </c>
    </row>
    <row r="56" spans="1:14">
      <c r="A56" t="s">
        <v>11</v>
      </c>
      <c r="B56" t="s">
        <v>8</v>
      </c>
      <c r="C56" t="s">
        <v>9</v>
      </c>
      <c r="D56" t="s">
        <v>10</v>
      </c>
      <c r="E56">
        <v>4.34</v>
      </c>
      <c r="F56">
        <v>4</v>
      </c>
      <c r="G56">
        <v>25.56</v>
      </c>
      <c r="H56" s="2">
        <f t="shared" si="6"/>
        <v>0</v>
      </c>
      <c r="I56">
        <f t="shared" si="1"/>
        <v>0</v>
      </c>
      <c r="J56">
        <f t="shared" si="2"/>
        <v>4</v>
      </c>
      <c r="K56">
        <f t="shared" si="3"/>
        <v>1</v>
      </c>
      <c r="L56" s="13">
        <f>Sheet1!$B$17+(Sheet1!$B$18*tips!F56)+(Sheet1!$B$19*tips!G56)+(Sheet1!$B$20*tips!H56)+(Sheet1!$B$21*tips!I56)+(Sheet1!$B$22*tips!J56)+(Sheet1!$B$23*tips!K56)</f>
        <v>3.8436964066204693</v>
      </c>
      <c r="M56" s="13">
        <f t="shared" si="5"/>
        <v>-0.49630359337953056</v>
      </c>
      <c r="N56" s="13">
        <f t="shared" si="4"/>
        <v>0.2463172568014344</v>
      </c>
    </row>
    <row r="57" spans="1:14">
      <c r="A57" t="s">
        <v>11</v>
      </c>
      <c r="B57" t="s">
        <v>8</v>
      </c>
      <c r="C57" t="s">
        <v>9</v>
      </c>
      <c r="D57" t="s">
        <v>10</v>
      </c>
      <c r="E57">
        <v>3.51</v>
      </c>
      <c r="F57">
        <v>2</v>
      </c>
      <c r="G57">
        <v>19.489999999999998</v>
      </c>
      <c r="H57" s="2">
        <f t="shared" si="6"/>
        <v>0</v>
      </c>
      <c r="I57">
        <f t="shared" si="1"/>
        <v>0</v>
      </c>
      <c r="J57">
        <f t="shared" si="2"/>
        <v>4</v>
      </c>
      <c r="K57">
        <f t="shared" si="3"/>
        <v>1</v>
      </c>
      <c r="L57" s="13">
        <f>Sheet1!$B$17+(Sheet1!$B$18*tips!F57)+(Sheet1!$B$19*tips!G57)+(Sheet1!$B$20*tips!H57)+(Sheet1!$B$21*tips!I57)+(Sheet1!$B$22*tips!J57)+(Sheet1!$B$23*tips!K57)</f>
        <v>2.9215881075792751</v>
      </c>
      <c r="M57" s="13">
        <f t="shared" si="5"/>
        <v>-0.58841189242072467</v>
      </c>
      <c r="N57" s="13">
        <f t="shared" si="4"/>
        <v>0.34622855514213846</v>
      </c>
    </row>
    <row r="58" spans="1:14">
      <c r="A58" t="s">
        <v>11</v>
      </c>
      <c r="B58" t="s">
        <v>22</v>
      </c>
      <c r="C58" t="s">
        <v>21</v>
      </c>
      <c r="D58" t="s">
        <v>10</v>
      </c>
      <c r="E58">
        <v>3</v>
      </c>
      <c r="F58">
        <v>4</v>
      </c>
      <c r="G58">
        <v>38.01</v>
      </c>
      <c r="H58" s="2">
        <f t="shared" si="6"/>
        <v>0</v>
      </c>
      <c r="I58">
        <f t="shared" si="1"/>
        <v>1</v>
      </c>
      <c r="J58">
        <f t="shared" si="2"/>
        <v>3</v>
      </c>
      <c r="K58">
        <f t="shared" si="3"/>
        <v>1</v>
      </c>
      <c r="L58" s="13">
        <f>Sheet1!$B$17+(Sheet1!$B$18*tips!F58)+(Sheet1!$B$19*tips!G58)+(Sheet1!$B$20*tips!H58)+(Sheet1!$B$21*tips!I58)+(Sheet1!$B$22*tips!J58)+(Sheet1!$B$23*tips!K58)</f>
        <v>4.8914275775102647</v>
      </c>
      <c r="M58" s="13">
        <f t="shared" si="5"/>
        <v>1.8914275775102647</v>
      </c>
      <c r="N58" s="13">
        <f t="shared" si="4"/>
        <v>3.5774982809663483</v>
      </c>
    </row>
    <row r="59" spans="1:14">
      <c r="A59" t="s">
        <v>7</v>
      </c>
      <c r="B59" t="s">
        <v>8</v>
      </c>
      <c r="C59" t="s">
        <v>21</v>
      </c>
      <c r="D59" t="s">
        <v>10</v>
      </c>
      <c r="E59">
        <v>1.5</v>
      </c>
      <c r="F59">
        <v>2</v>
      </c>
      <c r="G59">
        <v>26.41</v>
      </c>
      <c r="H59" s="2">
        <f t="shared" si="6"/>
        <v>1</v>
      </c>
      <c r="I59">
        <f t="shared" si="1"/>
        <v>0</v>
      </c>
      <c r="J59">
        <f t="shared" si="2"/>
        <v>3</v>
      </c>
      <c r="K59">
        <f t="shared" si="3"/>
        <v>1</v>
      </c>
      <c r="L59" s="13">
        <f>Sheet1!$B$17+(Sheet1!$B$18*tips!F59)+(Sheet1!$B$19*tips!G59)+(Sheet1!$B$20*tips!H59)+(Sheet1!$B$21*tips!I59)+(Sheet1!$B$22*tips!J59)+(Sheet1!$B$23*tips!K59)</f>
        <v>3.5575188661262152</v>
      </c>
      <c r="M59" s="13">
        <f t="shared" si="5"/>
        <v>2.0575188661262152</v>
      </c>
      <c r="N59" s="13">
        <f t="shared" si="4"/>
        <v>4.2333838844653062</v>
      </c>
    </row>
    <row r="60" spans="1:14">
      <c r="A60" t="s">
        <v>11</v>
      </c>
      <c r="B60" t="s">
        <v>22</v>
      </c>
      <c r="C60" t="s">
        <v>21</v>
      </c>
      <c r="D60" t="s">
        <v>10</v>
      </c>
      <c r="E60">
        <v>1.76</v>
      </c>
      <c r="F60">
        <v>2</v>
      </c>
      <c r="G60">
        <v>11.24</v>
      </c>
      <c r="H60" s="2">
        <f t="shared" si="6"/>
        <v>0</v>
      </c>
      <c r="I60">
        <f t="shared" si="1"/>
        <v>1</v>
      </c>
      <c r="J60">
        <f t="shared" si="2"/>
        <v>3</v>
      </c>
      <c r="K60">
        <f t="shared" si="3"/>
        <v>1</v>
      </c>
      <c r="L60" s="13">
        <f>Sheet1!$B$17+(Sheet1!$B$18*tips!F60)+(Sheet1!$B$19*tips!G60)+(Sheet1!$B$20*tips!H60)+(Sheet1!$B$21*tips!I60)+(Sheet1!$B$22*tips!J60)+(Sheet1!$B$23*tips!K60)</f>
        <v>2.0180644432950019</v>
      </c>
      <c r="M60" s="13">
        <f t="shared" si="5"/>
        <v>0.25806444329500189</v>
      </c>
      <c r="N60" s="13">
        <f t="shared" si="4"/>
        <v>6.6597256893159248E-2</v>
      </c>
    </row>
    <row r="61" spans="1:14">
      <c r="A61" t="s">
        <v>11</v>
      </c>
      <c r="B61" t="s">
        <v>8</v>
      </c>
      <c r="C61" t="s">
        <v>21</v>
      </c>
      <c r="D61" t="s">
        <v>10</v>
      </c>
      <c r="E61">
        <v>6.73</v>
      </c>
      <c r="F61">
        <v>4</v>
      </c>
      <c r="G61">
        <v>48.27</v>
      </c>
      <c r="H61" s="2">
        <f t="shared" si="6"/>
        <v>0</v>
      </c>
      <c r="I61">
        <f t="shared" si="1"/>
        <v>0</v>
      </c>
      <c r="J61">
        <f t="shared" si="2"/>
        <v>3</v>
      </c>
      <c r="K61">
        <f t="shared" si="3"/>
        <v>1</v>
      </c>
      <c r="L61" s="13">
        <f>Sheet1!$B$17+(Sheet1!$B$18*tips!F61)+(Sheet1!$B$19*tips!G61)+(Sheet1!$B$20*tips!H61)+(Sheet1!$B$21*tips!I61)+(Sheet1!$B$22*tips!J61)+(Sheet1!$B$23*tips!K61)</f>
        <v>5.9314156092125616</v>
      </c>
      <c r="M61" s="13">
        <f t="shared" si="5"/>
        <v>-0.79858439078743881</v>
      </c>
      <c r="N61" s="13">
        <f t="shared" si="4"/>
        <v>0.63773702920934483</v>
      </c>
    </row>
    <row r="62" spans="1:14">
      <c r="A62" t="s">
        <v>11</v>
      </c>
      <c r="B62" t="s">
        <v>22</v>
      </c>
      <c r="C62" t="s">
        <v>21</v>
      </c>
      <c r="D62" t="s">
        <v>10</v>
      </c>
      <c r="E62">
        <v>3.21</v>
      </c>
      <c r="F62">
        <v>2</v>
      </c>
      <c r="G62">
        <v>20.29</v>
      </c>
      <c r="H62" s="2">
        <f t="shared" si="6"/>
        <v>0</v>
      </c>
      <c r="I62">
        <f t="shared" si="1"/>
        <v>1</v>
      </c>
      <c r="J62">
        <f t="shared" si="2"/>
        <v>3</v>
      </c>
      <c r="K62">
        <f t="shared" si="3"/>
        <v>1</v>
      </c>
      <c r="L62" s="13">
        <f>Sheet1!$B$17+(Sheet1!$B$18*tips!F62)+(Sheet1!$B$19*tips!G62)+(Sheet1!$B$20*tips!H62)+(Sheet1!$B$21*tips!I62)+(Sheet1!$B$22*tips!J62)+(Sheet1!$B$23*tips!K62)</f>
        <v>2.87114928669236</v>
      </c>
      <c r="M62" s="13">
        <f t="shared" si="5"/>
        <v>-0.33885071330763994</v>
      </c>
      <c r="N62" s="13">
        <f t="shared" si="4"/>
        <v>0.11481980590909639</v>
      </c>
    </row>
    <row r="63" spans="1:14">
      <c r="A63" t="s">
        <v>11</v>
      </c>
      <c r="B63" t="s">
        <v>22</v>
      </c>
      <c r="C63" t="s">
        <v>21</v>
      </c>
      <c r="D63" t="s">
        <v>10</v>
      </c>
      <c r="E63">
        <v>2</v>
      </c>
      <c r="F63">
        <v>2</v>
      </c>
      <c r="G63">
        <v>13.81</v>
      </c>
      <c r="H63" s="2">
        <f t="shared" si="6"/>
        <v>0</v>
      </c>
      <c r="I63">
        <f t="shared" si="1"/>
        <v>1</v>
      </c>
      <c r="J63">
        <f t="shared" si="2"/>
        <v>3</v>
      </c>
      <c r="K63">
        <f t="shared" si="3"/>
        <v>1</v>
      </c>
      <c r="L63" s="13">
        <f>Sheet1!$B$17+(Sheet1!$B$18*tips!F63)+(Sheet1!$B$19*tips!G63)+(Sheet1!$B$20*tips!H63)+(Sheet1!$B$21*tips!I63)+(Sheet1!$B$22*tips!J63)+(Sheet1!$B$23*tips!K63)</f>
        <v>2.2603216861161304</v>
      </c>
      <c r="M63" s="13">
        <f t="shared" si="5"/>
        <v>0.26032168611613038</v>
      </c>
      <c r="N63" s="13">
        <f t="shared" si="4"/>
        <v>6.7767380262345106E-2</v>
      </c>
    </row>
    <row r="64" spans="1:14">
      <c r="A64" t="s">
        <v>11</v>
      </c>
      <c r="B64" t="s">
        <v>22</v>
      </c>
      <c r="C64" t="s">
        <v>21</v>
      </c>
      <c r="D64" t="s">
        <v>10</v>
      </c>
      <c r="E64">
        <v>1.98</v>
      </c>
      <c r="F64">
        <v>2</v>
      </c>
      <c r="G64">
        <v>11.02</v>
      </c>
      <c r="H64" s="2">
        <f t="shared" si="6"/>
        <v>0</v>
      </c>
      <c r="I64">
        <f t="shared" si="1"/>
        <v>1</v>
      </c>
      <c r="J64">
        <f t="shared" si="2"/>
        <v>3</v>
      </c>
      <c r="K64">
        <f t="shared" si="3"/>
        <v>1</v>
      </c>
      <c r="L64" s="13">
        <f>Sheet1!$B$17+(Sheet1!$B$18*tips!F64)+(Sheet1!$B$19*tips!G64)+(Sheet1!$B$20*tips!H64)+(Sheet1!$B$21*tips!I64)+(Sheet1!$B$22*tips!J64)+(Sheet1!$B$23*tips!K64)</f>
        <v>1.9973264692013648</v>
      </c>
      <c r="M64" s="13">
        <f t="shared" si="5"/>
        <v>1.7326469201364825E-2</v>
      </c>
      <c r="N64" s="13">
        <f t="shared" si="4"/>
        <v>3.0020653498584384E-4</v>
      </c>
    </row>
    <row r="65" spans="1:14">
      <c r="A65" t="s">
        <v>11</v>
      </c>
      <c r="B65" t="s">
        <v>22</v>
      </c>
      <c r="C65" t="s">
        <v>21</v>
      </c>
      <c r="D65" t="s">
        <v>10</v>
      </c>
      <c r="E65">
        <v>3.76</v>
      </c>
      <c r="F65">
        <v>4</v>
      </c>
      <c r="G65">
        <v>18.29</v>
      </c>
      <c r="H65" s="2">
        <f t="shared" si="6"/>
        <v>0</v>
      </c>
      <c r="I65">
        <f t="shared" si="1"/>
        <v>1</v>
      </c>
      <c r="J65">
        <f t="shared" si="2"/>
        <v>3</v>
      </c>
      <c r="K65">
        <f t="shared" si="3"/>
        <v>1</v>
      </c>
      <c r="L65" s="13">
        <f>Sheet1!$B$17+(Sheet1!$B$18*tips!F65)+(Sheet1!$B$19*tips!G65)+(Sheet1!$B$20*tips!H65)+(Sheet1!$B$21*tips!I65)+(Sheet1!$B$22*tips!J65)+(Sheet1!$B$23*tips!K65)</f>
        <v>3.0325509905714907</v>
      </c>
      <c r="M65" s="13">
        <f t="shared" si="5"/>
        <v>-0.7274490094285091</v>
      </c>
      <c r="N65" s="13">
        <f t="shared" si="4"/>
        <v>0.52918206131851908</v>
      </c>
    </row>
    <row r="66" spans="1:14">
      <c r="A66" t="s">
        <v>11</v>
      </c>
      <c r="B66" t="s">
        <v>8</v>
      </c>
      <c r="C66" t="s">
        <v>21</v>
      </c>
      <c r="D66" t="s">
        <v>10</v>
      </c>
      <c r="E66">
        <v>2.64</v>
      </c>
      <c r="F66">
        <v>3</v>
      </c>
      <c r="G66">
        <v>17.59</v>
      </c>
      <c r="H66" s="2">
        <f t="shared" si="6"/>
        <v>0</v>
      </c>
      <c r="I66">
        <f t="shared" si="1"/>
        <v>0</v>
      </c>
      <c r="J66">
        <f t="shared" si="2"/>
        <v>3</v>
      </c>
      <c r="K66">
        <f t="shared" si="3"/>
        <v>1</v>
      </c>
      <c r="L66" s="13">
        <f>Sheet1!$B$17+(Sheet1!$B$18*tips!F66)+(Sheet1!$B$19*tips!G66)+(Sheet1!$B$20*tips!H66)+(Sheet1!$B$21*tips!I66)+(Sheet1!$B$22*tips!J66)+(Sheet1!$B$23*tips!K66)</f>
        <v>2.8644464877892055</v>
      </c>
      <c r="M66" s="13">
        <f t="shared" si="5"/>
        <v>0.2244464877892054</v>
      </c>
      <c r="N66" s="13">
        <f t="shared" si="4"/>
        <v>5.0376225880909925E-2</v>
      </c>
    </row>
    <row r="67" spans="1:14">
      <c r="A67" t="s">
        <v>11</v>
      </c>
      <c r="B67" t="s">
        <v>8</v>
      </c>
      <c r="C67" t="s">
        <v>21</v>
      </c>
      <c r="D67" t="s">
        <v>10</v>
      </c>
      <c r="E67">
        <v>3.15</v>
      </c>
      <c r="F67">
        <v>3</v>
      </c>
      <c r="G67">
        <v>20.079999999999998</v>
      </c>
      <c r="H67" s="2">
        <f t="shared" ref="H67:H130" si="7">IF(A67="Female",1,0)</f>
        <v>0</v>
      </c>
      <c r="I67">
        <f t="shared" ref="I67:I130" si="8">IF(B67="yes",1,0)</f>
        <v>0</v>
      </c>
      <c r="J67">
        <f t="shared" ref="J67:J130" si="9">IF(C67="Thur", 1, IF(C67="Fri", 2, IF(C67="Sat", 3, 4)))</f>
        <v>3</v>
      </c>
      <c r="K67">
        <f t="shared" ref="K67:K130" si="10">IF(D67="Dinner",1, 0)</f>
        <v>1</v>
      </c>
      <c r="L67" s="13">
        <f>Sheet1!$B$17+(Sheet1!$B$18*tips!F67)+(Sheet1!$B$19*tips!G67)+(Sheet1!$B$20*tips!H67)+(Sheet1!$B$21*tips!I67)+(Sheet1!$B$22*tips!J67)+(Sheet1!$B$23*tips!K67)</f>
        <v>3.0991626491217379</v>
      </c>
      <c r="M67" s="13">
        <f t="shared" ref="M67:M130" si="11">L67-E67</f>
        <v>-5.0837350878262022E-2</v>
      </c>
      <c r="N67" s="13">
        <f t="shared" ref="N67:N130" si="12">M67^2</f>
        <v>2.5844362443195284E-3</v>
      </c>
    </row>
    <row r="68" spans="1:14">
      <c r="A68" t="s">
        <v>7</v>
      </c>
      <c r="B68" t="s">
        <v>8</v>
      </c>
      <c r="C68" t="s">
        <v>21</v>
      </c>
      <c r="D68" t="s">
        <v>10</v>
      </c>
      <c r="E68">
        <v>2.4700000000000002</v>
      </c>
      <c r="F68">
        <v>2</v>
      </c>
      <c r="G68">
        <v>16.45</v>
      </c>
      <c r="H68" s="2">
        <f t="shared" si="7"/>
        <v>1</v>
      </c>
      <c r="I68">
        <f t="shared" si="8"/>
        <v>0</v>
      </c>
      <c r="J68">
        <f t="shared" si="9"/>
        <v>3</v>
      </c>
      <c r="K68">
        <f t="shared" si="10"/>
        <v>1</v>
      </c>
      <c r="L68" s="13">
        <f>Sheet1!$B$17+(Sheet1!$B$18*tips!F68)+(Sheet1!$B$19*tips!G68)+(Sheet1!$B$20*tips!H68)+(Sheet1!$B$21*tips!I68)+(Sheet1!$B$22*tips!J68)+(Sheet1!$B$23*tips!K68)</f>
        <v>2.6186542207960839</v>
      </c>
      <c r="M68" s="13">
        <f t="shared" si="11"/>
        <v>0.1486542207960837</v>
      </c>
      <c r="N68" s="13">
        <f t="shared" si="12"/>
        <v>2.2098077360490805E-2</v>
      </c>
    </row>
    <row r="69" spans="1:14">
      <c r="A69" t="s">
        <v>7</v>
      </c>
      <c r="B69" t="s">
        <v>22</v>
      </c>
      <c r="C69" t="s">
        <v>21</v>
      </c>
      <c r="D69" t="s">
        <v>10</v>
      </c>
      <c r="E69">
        <v>1</v>
      </c>
      <c r="F69">
        <v>1</v>
      </c>
      <c r="G69">
        <v>3.07</v>
      </c>
      <c r="H69" s="2">
        <f t="shared" si="7"/>
        <v>1</v>
      </c>
      <c r="I69">
        <f t="shared" si="8"/>
        <v>1</v>
      </c>
      <c r="J69">
        <f t="shared" si="9"/>
        <v>3</v>
      </c>
      <c r="K69">
        <f t="shared" si="10"/>
        <v>1</v>
      </c>
      <c r="L69" s="13">
        <f>Sheet1!$B$17+(Sheet1!$B$18*tips!F69)+(Sheet1!$B$19*tips!G69)+(Sheet1!$B$20*tips!H69)+(Sheet1!$B$21*tips!I69)+(Sheet1!$B$22*tips!J69)+(Sheet1!$B$23*tips!K69)</f>
        <v>1.1095996404915571</v>
      </c>
      <c r="M69" s="13">
        <f t="shared" si="11"/>
        <v>0.10959964049155713</v>
      </c>
      <c r="N69" s="13">
        <f t="shared" si="12"/>
        <v>1.2012081195878568E-2</v>
      </c>
    </row>
    <row r="70" spans="1:14">
      <c r="A70" t="s">
        <v>11</v>
      </c>
      <c r="B70" t="s">
        <v>8</v>
      </c>
      <c r="C70" t="s">
        <v>21</v>
      </c>
      <c r="D70" t="s">
        <v>10</v>
      </c>
      <c r="E70">
        <v>2.0099999999999998</v>
      </c>
      <c r="F70">
        <v>2</v>
      </c>
      <c r="G70">
        <v>20.23</v>
      </c>
      <c r="H70" s="2">
        <f t="shared" si="7"/>
        <v>0</v>
      </c>
      <c r="I70">
        <f t="shared" si="8"/>
        <v>0</v>
      </c>
      <c r="J70">
        <f t="shared" si="9"/>
        <v>3</v>
      </c>
      <c r="K70">
        <f t="shared" si="10"/>
        <v>1</v>
      </c>
      <c r="L70" s="13">
        <f>Sheet1!$B$17+(Sheet1!$B$18*tips!F70)+(Sheet1!$B$19*tips!G70)+(Sheet1!$B$20*tips!H70)+(Sheet1!$B$21*tips!I70)+(Sheet1!$B$22*tips!J70)+(Sheet1!$B$23*tips!K70)</f>
        <v>2.9383378063658467</v>
      </c>
      <c r="M70" s="13">
        <f t="shared" si="11"/>
        <v>0.92833780636584695</v>
      </c>
      <c r="N70" s="13">
        <f t="shared" si="12"/>
        <v>0.86181108272815277</v>
      </c>
    </row>
    <row r="71" spans="1:14">
      <c r="A71" t="s">
        <v>11</v>
      </c>
      <c r="B71" t="s">
        <v>22</v>
      </c>
      <c r="C71" t="s">
        <v>21</v>
      </c>
      <c r="D71" t="s">
        <v>10</v>
      </c>
      <c r="E71">
        <v>2.09</v>
      </c>
      <c r="F71">
        <v>2</v>
      </c>
      <c r="G71">
        <v>15.01</v>
      </c>
      <c r="H71" s="2">
        <f t="shared" si="7"/>
        <v>0</v>
      </c>
      <c r="I71">
        <f t="shared" si="8"/>
        <v>1</v>
      </c>
      <c r="J71">
        <f t="shared" si="9"/>
        <v>3</v>
      </c>
      <c r="K71">
        <f t="shared" si="10"/>
        <v>1</v>
      </c>
      <c r="L71" s="13">
        <f>Sheet1!$B$17+(Sheet1!$B$18*tips!F71)+(Sheet1!$B$19*tips!G71)+(Sheet1!$B$20*tips!H71)+(Sheet1!$B$21*tips!I71)+(Sheet1!$B$22*tips!J71)+(Sheet1!$B$23*tips!K71)</f>
        <v>2.3734379084450619</v>
      </c>
      <c r="M71" s="13">
        <f t="shared" si="11"/>
        <v>0.283437908445062</v>
      </c>
      <c r="N71" s="13">
        <f t="shared" si="12"/>
        <v>8.0337047943711354E-2</v>
      </c>
    </row>
    <row r="72" spans="1:14">
      <c r="A72" t="s">
        <v>11</v>
      </c>
      <c r="B72" t="s">
        <v>8</v>
      </c>
      <c r="C72" t="s">
        <v>21</v>
      </c>
      <c r="D72" t="s">
        <v>10</v>
      </c>
      <c r="E72">
        <v>1.97</v>
      </c>
      <c r="F72">
        <v>2</v>
      </c>
      <c r="G72">
        <v>12.02</v>
      </c>
      <c r="H72" s="2">
        <f t="shared" si="7"/>
        <v>0</v>
      </c>
      <c r="I72">
        <f t="shared" si="8"/>
        <v>0</v>
      </c>
      <c r="J72">
        <f t="shared" si="9"/>
        <v>3</v>
      </c>
      <c r="K72">
        <f t="shared" si="10"/>
        <v>1</v>
      </c>
      <c r="L72" s="13">
        <f>Sheet1!$B$17+(Sheet1!$B$18*tips!F72)+(Sheet1!$B$19*tips!G72)+(Sheet1!$B$20*tips!H72)+(Sheet1!$B$21*tips!I72)+(Sheet1!$B$22*tips!J72)+(Sheet1!$B$23*tips!K72)</f>
        <v>2.1644343185987407</v>
      </c>
      <c r="M72" s="13">
        <f t="shared" si="11"/>
        <v>0.19443431859874072</v>
      </c>
      <c r="N72" s="13">
        <f t="shared" si="12"/>
        <v>3.7804704248956614E-2</v>
      </c>
    </row>
    <row r="73" spans="1:14">
      <c r="A73" t="s">
        <v>7</v>
      </c>
      <c r="B73" t="s">
        <v>8</v>
      </c>
      <c r="C73" t="s">
        <v>21</v>
      </c>
      <c r="D73" t="s">
        <v>10</v>
      </c>
      <c r="E73">
        <v>3</v>
      </c>
      <c r="F73">
        <v>3</v>
      </c>
      <c r="G73">
        <v>17.07</v>
      </c>
      <c r="H73" s="2">
        <f t="shared" si="7"/>
        <v>1</v>
      </c>
      <c r="I73">
        <f t="shared" si="8"/>
        <v>0</v>
      </c>
      <c r="J73">
        <f t="shared" si="9"/>
        <v>3</v>
      </c>
      <c r="K73">
        <f t="shared" si="10"/>
        <v>1</v>
      </c>
      <c r="L73" s="13">
        <f>Sheet1!$B$17+(Sheet1!$B$18*tips!F73)+(Sheet1!$B$19*tips!G73)+(Sheet1!$B$20*tips!H73)+(Sheet1!$B$21*tips!I73)+(Sheet1!$B$22*tips!J73)+(Sheet1!$B$23*tips!K73)</f>
        <v>2.8520619728797065</v>
      </c>
      <c r="M73" s="13">
        <f t="shared" si="11"/>
        <v>-0.14793802712029347</v>
      </c>
      <c r="N73" s="13">
        <f t="shared" si="12"/>
        <v>2.1885659868244686E-2</v>
      </c>
    </row>
    <row r="74" spans="1:14">
      <c r="A74" t="s">
        <v>7</v>
      </c>
      <c r="B74" t="s">
        <v>22</v>
      </c>
      <c r="C74" t="s">
        <v>21</v>
      </c>
      <c r="D74" t="s">
        <v>10</v>
      </c>
      <c r="E74">
        <v>3.14</v>
      </c>
      <c r="F74">
        <v>2</v>
      </c>
      <c r="G74">
        <v>26.86</v>
      </c>
      <c r="H74" s="2">
        <f t="shared" si="7"/>
        <v>1</v>
      </c>
      <c r="I74">
        <f t="shared" si="8"/>
        <v>1</v>
      </c>
      <c r="J74">
        <f t="shared" si="9"/>
        <v>3</v>
      </c>
      <c r="K74">
        <f t="shared" si="10"/>
        <v>1</v>
      </c>
      <c r="L74" s="13">
        <f>Sheet1!$B$17+(Sheet1!$B$18*tips!F74)+(Sheet1!$B$19*tips!G74)+(Sheet1!$B$20*tips!H74)+(Sheet1!$B$21*tips!I74)+(Sheet1!$B$22*tips!J74)+(Sheet1!$B$23*tips!K74)</f>
        <v>3.5270931187096313</v>
      </c>
      <c r="M74" s="13">
        <f t="shared" si="11"/>
        <v>0.38709311870963115</v>
      </c>
      <c r="N74" s="13">
        <f t="shared" si="12"/>
        <v>0.1498410825523486</v>
      </c>
    </row>
    <row r="75" spans="1:14">
      <c r="A75" t="s">
        <v>7</v>
      </c>
      <c r="B75" t="s">
        <v>22</v>
      </c>
      <c r="C75" t="s">
        <v>21</v>
      </c>
      <c r="D75" t="s">
        <v>10</v>
      </c>
      <c r="E75">
        <v>5</v>
      </c>
      <c r="F75">
        <v>2</v>
      </c>
      <c r="G75">
        <v>25.28</v>
      </c>
      <c r="H75" s="2">
        <f t="shared" si="7"/>
        <v>1</v>
      </c>
      <c r="I75">
        <f t="shared" si="8"/>
        <v>1</v>
      </c>
      <c r="J75">
        <f t="shared" si="9"/>
        <v>3</v>
      </c>
      <c r="K75">
        <f t="shared" si="10"/>
        <v>1</v>
      </c>
      <c r="L75" s="13">
        <f>Sheet1!$B$17+(Sheet1!$B$18*tips!F75)+(Sheet1!$B$19*tips!G75)+(Sheet1!$B$20*tips!H75)+(Sheet1!$B$21*tips!I75)+(Sheet1!$B$22*tips!J75)+(Sheet1!$B$23*tips!K75)</f>
        <v>3.3781567593098716</v>
      </c>
      <c r="M75" s="13">
        <f t="shared" si="11"/>
        <v>-1.6218432406901284</v>
      </c>
      <c r="N75" s="13">
        <f t="shared" si="12"/>
        <v>2.630375497372258</v>
      </c>
    </row>
    <row r="76" spans="1:14">
      <c r="A76" t="s">
        <v>7</v>
      </c>
      <c r="B76" t="s">
        <v>8</v>
      </c>
      <c r="C76" t="s">
        <v>21</v>
      </c>
      <c r="D76" t="s">
        <v>10</v>
      </c>
      <c r="E76">
        <v>2.2000000000000002</v>
      </c>
      <c r="F76">
        <v>2</v>
      </c>
      <c r="G76">
        <v>14.73</v>
      </c>
      <c r="H76" s="2">
        <f t="shared" si="7"/>
        <v>1</v>
      </c>
      <c r="I76">
        <f t="shared" si="8"/>
        <v>0</v>
      </c>
      <c r="J76">
        <f t="shared" si="9"/>
        <v>3</v>
      </c>
      <c r="K76">
        <f t="shared" si="10"/>
        <v>1</v>
      </c>
      <c r="L76" s="13">
        <f>Sheet1!$B$17+(Sheet1!$B$18*tips!F76)+(Sheet1!$B$19*tips!G76)+(Sheet1!$B$20*tips!H76)+(Sheet1!$B$21*tips!I76)+(Sheet1!$B$22*tips!J76)+(Sheet1!$B$23*tips!K76)</f>
        <v>2.4565209687912821</v>
      </c>
      <c r="M76" s="13">
        <f t="shared" si="11"/>
        <v>0.25652096879128194</v>
      </c>
      <c r="N76" s="13">
        <f t="shared" si="12"/>
        <v>6.5803007429617852E-2</v>
      </c>
    </row>
    <row r="77" spans="1:14">
      <c r="A77" t="s">
        <v>11</v>
      </c>
      <c r="B77" t="s">
        <v>8</v>
      </c>
      <c r="C77" t="s">
        <v>21</v>
      </c>
      <c r="D77" t="s">
        <v>10</v>
      </c>
      <c r="E77">
        <v>1.25</v>
      </c>
      <c r="F77">
        <v>2</v>
      </c>
      <c r="G77">
        <v>10.51</v>
      </c>
      <c r="H77" s="2">
        <f t="shared" si="7"/>
        <v>0</v>
      </c>
      <c r="I77">
        <f t="shared" si="8"/>
        <v>0</v>
      </c>
      <c r="J77">
        <f t="shared" si="9"/>
        <v>3</v>
      </c>
      <c r="K77">
        <f t="shared" si="10"/>
        <v>1</v>
      </c>
      <c r="L77" s="13">
        <f>Sheet1!$B$17+(Sheet1!$B$18*tips!F77)+(Sheet1!$B$19*tips!G77)+(Sheet1!$B$20*tips!H77)+(Sheet1!$B$21*tips!I77)+(Sheet1!$B$22*tips!J77)+(Sheet1!$B$23*tips!K77)</f>
        <v>2.022096405501502</v>
      </c>
      <c r="M77" s="13">
        <f t="shared" si="11"/>
        <v>0.77209640550150205</v>
      </c>
      <c r="N77" s="13">
        <f t="shared" si="12"/>
        <v>0.59613285938833993</v>
      </c>
    </row>
    <row r="78" spans="1:14">
      <c r="A78" t="s">
        <v>11</v>
      </c>
      <c r="B78" t="s">
        <v>22</v>
      </c>
      <c r="C78" t="s">
        <v>21</v>
      </c>
      <c r="D78" t="s">
        <v>10</v>
      </c>
      <c r="E78">
        <v>3.08</v>
      </c>
      <c r="F78">
        <v>2</v>
      </c>
      <c r="G78">
        <v>17.920000000000002</v>
      </c>
      <c r="H78" s="2">
        <f t="shared" si="7"/>
        <v>0</v>
      </c>
      <c r="I78">
        <f t="shared" si="8"/>
        <v>1</v>
      </c>
      <c r="J78">
        <f t="shared" si="9"/>
        <v>3</v>
      </c>
      <c r="K78">
        <f t="shared" si="10"/>
        <v>1</v>
      </c>
      <c r="L78" s="13">
        <f>Sheet1!$B$17+(Sheet1!$B$18*tips!F78)+(Sheet1!$B$19*tips!G78)+(Sheet1!$B$20*tips!H78)+(Sheet1!$B$21*tips!I78)+(Sheet1!$B$22*tips!J78)+(Sheet1!$B$23*tips!K78)</f>
        <v>2.6477447475927209</v>
      </c>
      <c r="M78" s="13">
        <f t="shared" si="11"/>
        <v>-0.43225525240727913</v>
      </c>
      <c r="N78" s="13">
        <f t="shared" si="12"/>
        <v>0.1868446032336806</v>
      </c>
    </row>
    <row r="79" spans="1:14">
      <c r="A79" t="s">
        <v>11</v>
      </c>
      <c r="B79" t="s">
        <v>8</v>
      </c>
      <c r="C79" t="s">
        <v>23</v>
      </c>
      <c r="D79" t="s">
        <v>24</v>
      </c>
      <c r="E79">
        <v>4</v>
      </c>
      <c r="F79">
        <v>4</v>
      </c>
      <c r="G79">
        <v>27.2</v>
      </c>
      <c r="H79" s="2">
        <f t="shared" si="7"/>
        <v>0</v>
      </c>
      <c r="I79">
        <f t="shared" si="8"/>
        <v>0</v>
      </c>
      <c r="J79">
        <f t="shared" si="9"/>
        <v>1</v>
      </c>
      <c r="K79">
        <f t="shared" si="10"/>
        <v>0</v>
      </c>
      <c r="L79" s="13">
        <f>Sheet1!$B$17+(Sheet1!$B$18*tips!F79)+(Sheet1!$B$19*tips!G79)+(Sheet1!$B$20*tips!H79)+(Sheet1!$B$21*tips!I79)+(Sheet1!$B$22*tips!J79)+(Sheet1!$B$23*tips!K79)</f>
        <v>3.9552789239088586</v>
      </c>
      <c r="M79" s="13">
        <f t="shared" si="11"/>
        <v>-4.4721076091141398E-2</v>
      </c>
      <c r="N79" s="13">
        <f t="shared" si="12"/>
        <v>1.9999746467496589E-3</v>
      </c>
    </row>
    <row r="80" spans="1:14">
      <c r="A80" t="s">
        <v>11</v>
      </c>
      <c r="B80" t="s">
        <v>8</v>
      </c>
      <c r="C80" t="s">
        <v>23</v>
      </c>
      <c r="D80" t="s">
        <v>24</v>
      </c>
      <c r="E80">
        <v>3</v>
      </c>
      <c r="F80">
        <v>2</v>
      </c>
      <c r="G80">
        <v>22.76</v>
      </c>
      <c r="H80" s="2">
        <f t="shared" si="7"/>
        <v>0</v>
      </c>
      <c r="I80">
        <f t="shared" si="8"/>
        <v>0</v>
      </c>
      <c r="J80">
        <f t="shared" si="9"/>
        <v>1</v>
      </c>
      <c r="K80">
        <f t="shared" si="10"/>
        <v>0</v>
      </c>
      <c r="L80" s="13">
        <f>Sheet1!$B$17+(Sheet1!$B$18*tips!F80)+(Sheet1!$B$19*tips!G80)+(Sheet1!$B$20*tips!H80)+(Sheet1!$B$21*tips!I80)+(Sheet1!$B$22*tips!J80)+(Sheet1!$B$23*tips!K80)</f>
        <v>3.1868201601977963</v>
      </c>
      <c r="M80" s="13">
        <f t="shared" si="11"/>
        <v>0.18682016019779635</v>
      </c>
      <c r="N80" s="13">
        <f t="shared" si="12"/>
        <v>3.4901772256330288E-2</v>
      </c>
    </row>
    <row r="81" spans="1:14">
      <c r="A81" t="s">
        <v>11</v>
      </c>
      <c r="B81" t="s">
        <v>8</v>
      </c>
      <c r="C81" t="s">
        <v>23</v>
      </c>
      <c r="D81" t="s">
        <v>24</v>
      </c>
      <c r="E81">
        <v>2.71</v>
      </c>
      <c r="F81">
        <v>2</v>
      </c>
      <c r="G81">
        <v>17.29</v>
      </c>
      <c r="H81" s="2">
        <f t="shared" si="7"/>
        <v>0</v>
      </c>
      <c r="I81">
        <f t="shared" si="8"/>
        <v>0</v>
      </c>
      <c r="J81">
        <f t="shared" si="9"/>
        <v>1</v>
      </c>
      <c r="K81">
        <f t="shared" si="10"/>
        <v>0</v>
      </c>
      <c r="L81" s="13">
        <f>Sheet1!$B$17+(Sheet1!$B$18*tips!F81)+(Sheet1!$B$19*tips!G81)+(Sheet1!$B$20*tips!H81)+(Sheet1!$B$21*tips!I81)+(Sheet1!$B$22*tips!J81)+(Sheet1!$B$23*tips!K81)</f>
        <v>2.6711987134150834</v>
      </c>
      <c r="M81" s="13">
        <f t="shared" si="11"/>
        <v>-3.880128658491655E-2</v>
      </c>
      <c r="N81" s="13">
        <f t="shared" si="12"/>
        <v>1.505539840644825E-3</v>
      </c>
    </row>
    <row r="82" spans="1:14">
      <c r="A82" t="s">
        <v>11</v>
      </c>
      <c r="B82" t="s">
        <v>22</v>
      </c>
      <c r="C82" t="s">
        <v>23</v>
      </c>
      <c r="D82" t="s">
        <v>24</v>
      </c>
      <c r="E82">
        <v>3</v>
      </c>
      <c r="F82">
        <v>2</v>
      </c>
      <c r="G82">
        <v>19.440000000000001</v>
      </c>
      <c r="H82" s="2">
        <f t="shared" si="7"/>
        <v>0</v>
      </c>
      <c r="I82">
        <f t="shared" si="8"/>
        <v>1</v>
      </c>
      <c r="J82">
        <f t="shared" si="9"/>
        <v>1</v>
      </c>
      <c r="K82">
        <f t="shared" si="10"/>
        <v>0</v>
      </c>
      <c r="L82" s="13">
        <f>Sheet1!$B$17+(Sheet1!$B$18*tips!F82)+(Sheet1!$B$19*tips!G82)+(Sheet1!$B$20*tips!H82)+(Sheet1!$B$21*tips!I82)+(Sheet1!$B$22*tips!J82)+(Sheet1!$B$23*tips!K82)</f>
        <v>2.8010209476311525</v>
      </c>
      <c r="M82" s="13">
        <f t="shared" si="11"/>
        <v>-0.1989790523688475</v>
      </c>
      <c r="N82" s="13">
        <f t="shared" si="12"/>
        <v>3.9592663281604552E-2</v>
      </c>
    </row>
    <row r="83" spans="1:14">
      <c r="A83" t="s">
        <v>11</v>
      </c>
      <c r="B83" t="s">
        <v>8</v>
      </c>
      <c r="C83" t="s">
        <v>23</v>
      </c>
      <c r="D83" t="s">
        <v>24</v>
      </c>
      <c r="E83">
        <v>3.4</v>
      </c>
      <c r="F83">
        <v>2</v>
      </c>
      <c r="G83">
        <v>16.66</v>
      </c>
      <c r="H83" s="2">
        <f t="shared" si="7"/>
        <v>0</v>
      </c>
      <c r="I83">
        <f t="shared" si="8"/>
        <v>0</v>
      </c>
      <c r="J83">
        <f t="shared" si="9"/>
        <v>1</v>
      </c>
      <c r="K83">
        <f t="shared" si="10"/>
        <v>0</v>
      </c>
      <c r="L83" s="13">
        <f>Sheet1!$B$17+(Sheet1!$B$18*tips!F83)+(Sheet1!$B$19*tips!G83)+(Sheet1!$B$20*tips!H83)+(Sheet1!$B$21*tips!I83)+(Sheet1!$B$22*tips!J83)+(Sheet1!$B$23*tips!K83)</f>
        <v>2.6118126966923945</v>
      </c>
      <c r="M83" s="13">
        <f t="shared" si="11"/>
        <v>-0.78818730330760545</v>
      </c>
      <c r="N83" s="13">
        <f t="shared" si="12"/>
        <v>0.62123922509531526</v>
      </c>
    </row>
    <row r="84" spans="1:14">
      <c r="A84" t="s">
        <v>7</v>
      </c>
      <c r="B84" t="s">
        <v>8</v>
      </c>
      <c r="C84" t="s">
        <v>23</v>
      </c>
      <c r="D84" t="s">
        <v>24</v>
      </c>
      <c r="E84">
        <v>1.83</v>
      </c>
      <c r="F84">
        <v>1</v>
      </c>
      <c r="G84">
        <v>10.07</v>
      </c>
      <c r="H84" s="2">
        <f t="shared" si="7"/>
        <v>1</v>
      </c>
      <c r="I84">
        <f t="shared" si="8"/>
        <v>0</v>
      </c>
      <c r="J84">
        <f t="shared" si="9"/>
        <v>1</v>
      </c>
      <c r="K84">
        <f t="shared" si="10"/>
        <v>0</v>
      </c>
      <c r="L84" s="13">
        <f>Sheet1!$B$17+(Sheet1!$B$18*tips!F84)+(Sheet1!$B$19*tips!G84)+(Sheet1!$B$20*tips!H84)+(Sheet1!$B$21*tips!I84)+(Sheet1!$B$22*tips!J84)+(Sheet1!$B$23*tips!K84)</f>
        <v>1.8522842532887092</v>
      </c>
      <c r="M84" s="13">
        <f t="shared" si="11"/>
        <v>2.2284253288709088E-2</v>
      </c>
      <c r="N84" s="13">
        <f t="shared" si="12"/>
        <v>4.9658794463534179E-4</v>
      </c>
    </row>
    <row r="85" spans="1:14">
      <c r="A85" t="s">
        <v>11</v>
      </c>
      <c r="B85" t="s">
        <v>22</v>
      </c>
      <c r="C85" t="s">
        <v>23</v>
      </c>
      <c r="D85" t="s">
        <v>24</v>
      </c>
      <c r="E85">
        <v>5</v>
      </c>
      <c r="F85">
        <v>2</v>
      </c>
      <c r="G85">
        <v>32.68</v>
      </c>
      <c r="H85" s="2">
        <f t="shared" si="7"/>
        <v>0</v>
      </c>
      <c r="I85">
        <f t="shared" si="8"/>
        <v>1</v>
      </c>
      <c r="J85">
        <f t="shared" si="9"/>
        <v>1</v>
      </c>
      <c r="K85">
        <f t="shared" si="10"/>
        <v>0</v>
      </c>
      <c r="L85" s="13">
        <f>Sheet1!$B$17+(Sheet1!$B$18*tips!F85)+(Sheet1!$B$19*tips!G85)+(Sheet1!$B$20*tips!H85)+(Sheet1!$B$21*tips!I85)+(Sheet1!$B$22*tips!J85)+(Sheet1!$B$23*tips!K85)</f>
        <v>4.049069933993696</v>
      </c>
      <c r="M85" s="13">
        <f t="shared" si="11"/>
        <v>-0.95093006600630403</v>
      </c>
      <c r="N85" s="13">
        <f t="shared" si="12"/>
        <v>0.9042679904347537</v>
      </c>
    </row>
    <row r="86" spans="1:14">
      <c r="A86" t="s">
        <v>11</v>
      </c>
      <c r="B86" t="s">
        <v>8</v>
      </c>
      <c r="C86" t="s">
        <v>23</v>
      </c>
      <c r="D86" t="s">
        <v>24</v>
      </c>
      <c r="E86">
        <v>2.0299999999999998</v>
      </c>
      <c r="F86">
        <v>2</v>
      </c>
      <c r="G86">
        <v>15.98</v>
      </c>
      <c r="H86" s="2">
        <f t="shared" si="7"/>
        <v>0</v>
      </c>
      <c r="I86">
        <f t="shared" si="8"/>
        <v>0</v>
      </c>
      <c r="J86">
        <f t="shared" si="9"/>
        <v>1</v>
      </c>
      <c r="K86">
        <f t="shared" si="10"/>
        <v>0</v>
      </c>
      <c r="L86" s="13">
        <f>Sheet1!$B$17+(Sheet1!$B$18*tips!F86)+(Sheet1!$B$19*tips!G86)+(Sheet1!$B$20*tips!H86)+(Sheet1!$B$21*tips!I86)+(Sheet1!$B$22*tips!J86)+(Sheet1!$B$23*tips!K86)</f>
        <v>2.5477135040393333</v>
      </c>
      <c r="M86" s="13">
        <f t="shared" si="11"/>
        <v>0.51771350403933347</v>
      </c>
      <c r="N86" s="13">
        <f t="shared" si="12"/>
        <v>0.26802727226468498</v>
      </c>
    </row>
    <row r="87" spans="1:14">
      <c r="A87" t="s">
        <v>7</v>
      </c>
      <c r="B87" t="s">
        <v>8</v>
      </c>
      <c r="C87" t="s">
        <v>23</v>
      </c>
      <c r="D87" t="s">
        <v>24</v>
      </c>
      <c r="E87">
        <v>5.17</v>
      </c>
      <c r="F87">
        <v>4</v>
      </c>
      <c r="G87">
        <v>34.83</v>
      </c>
      <c r="H87" s="2">
        <f t="shared" si="7"/>
        <v>1</v>
      </c>
      <c r="I87">
        <f t="shared" si="8"/>
        <v>0</v>
      </c>
      <c r="J87">
        <f t="shared" si="9"/>
        <v>1</v>
      </c>
      <c r="K87">
        <f t="shared" si="10"/>
        <v>0</v>
      </c>
      <c r="L87" s="13">
        <f>Sheet1!$B$17+(Sheet1!$B$18*tips!F87)+(Sheet1!$B$19*tips!G87)+(Sheet1!$B$20*tips!H87)+(Sheet1!$B$21*tips!I87)+(Sheet1!$B$22*tips!J87)+(Sheet1!$B$23*tips!K87)</f>
        <v>4.7111420856500184</v>
      </c>
      <c r="M87" s="13">
        <f t="shared" si="11"/>
        <v>-0.45885791434998158</v>
      </c>
      <c r="N87" s="13">
        <f t="shared" si="12"/>
        <v>0.21055058556161502</v>
      </c>
    </row>
    <row r="88" spans="1:14">
      <c r="A88" t="s">
        <v>11</v>
      </c>
      <c r="B88" t="s">
        <v>8</v>
      </c>
      <c r="C88" t="s">
        <v>23</v>
      </c>
      <c r="D88" t="s">
        <v>24</v>
      </c>
      <c r="E88">
        <v>2</v>
      </c>
      <c r="F88">
        <v>2</v>
      </c>
      <c r="G88">
        <v>13.03</v>
      </c>
      <c r="H88" s="2">
        <f t="shared" si="7"/>
        <v>0</v>
      </c>
      <c r="I88">
        <f t="shared" si="8"/>
        <v>0</v>
      </c>
      <c r="J88">
        <f t="shared" si="9"/>
        <v>1</v>
      </c>
      <c r="K88">
        <f t="shared" si="10"/>
        <v>0</v>
      </c>
      <c r="L88" s="13">
        <f>Sheet1!$B$17+(Sheet1!$B$18*tips!F88)+(Sheet1!$B$19*tips!G88)+(Sheet1!$B$20*tips!H88)+(Sheet1!$B$21*tips!I88)+(Sheet1!$B$22*tips!J88)+(Sheet1!$B$23*tips!K88)</f>
        <v>2.2696361241473766</v>
      </c>
      <c r="M88" s="13">
        <f t="shared" si="11"/>
        <v>0.26963612414737659</v>
      </c>
      <c r="N88" s="13">
        <f t="shared" si="12"/>
        <v>7.2703639445219487E-2</v>
      </c>
    </row>
    <row r="89" spans="1:14">
      <c r="A89" t="s">
        <v>11</v>
      </c>
      <c r="B89" t="s">
        <v>8</v>
      </c>
      <c r="C89" t="s">
        <v>23</v>
      </c>
      <c r="D89" t="s">
        <v>24</v>
      </c>
      <c r="E89">
        <v>4</v>
      </c>
      <c r="F89">
        <v>2</v>
      </c>
      <c r="G89">
        <v>18.28</v>
      </c>
      <c r="H89" s="2">
        <f t="shared" si="7"/>
        <v>0</v>
      </c>
      <c r="I89">
        <f t="shared" si="8"/>
        <v>0</v>
      </c>
      <c r="J89">
        <f t="shared" si="9"/>
        <v>1</v>
      </c>
      <c r="K89">
        <f t="shared" si="10"/>
        <v>0</v>
      </c>
      <c r="L89" s="13">
        <f>Sheet1!$B$17+(Sheet1!$B$18*tips!F89)+(Sheet1!$B$19*tips!G89)+(Sheet1!$B$20*tips!H89)+(Sheet1!$B$21*tips!I89)+(Sheet1!$B$22*tips!J89)+(Sheet1!$B$23*tips!K89)</f>
        <v>2.7645195968364522</v>
      </c>
      <c r="M89" s="13">
        <f t="shared" si="11"/>
        <v>-1.2354804031635478</v>
      </c>
      <c r="N89" s="13">
        <f t="shared" si="12"/>
        <v>1.5264118266011626</v>
      </c>
    </row>
    <row r="90" spans="1:14">
      <c r="A90" t="s">
        <v>11</v>
      </c>
      <c r="B90" t="s">
        <v>8</v>
      </c>
      <c r="C90" t="s">
        <v>23</v>
      </c>
      <c r="D90" t="s">
        <v>24</v>
      </c>
      <c r="E90">
        <v>5.85</v>
      </c>
      <c r="F90">
        <v>2</v>
      </c>
      <c r="G90">
        <v>24.71</v>
      </c>
      <c r="H90" s="2">
        <f t="shared" si="7"/>
        <v>0</v>
      </c>
      <c r="I90">
        <f t="shared" si="8"/>
        <v>0</v>
      </c>
      <c r="J90">
        <f t="shared" si="9"/>
        <v>1</v>
      </c>
      <c r="K90">
        <f t="shared" si="10"/>
        <v>0</v>
      </c>
      <c r="L90" s="13">
        <f>Sheet1!$B$17+(Sheet1!$B$18*tips!F90)+(Sheet1!$B$19*tips!G90)+(Sheet1!$B$20*tips!H90)+(Sheet1!$B$21*tips!I90)+(Sheet1!$B$22*tips!J90)+(Sheet1!$B$23*tips!K90)</f>
        <v>3.3706340214823101</v>
      </c>
      <c r="M90" s="13">
        <f t="shared" si="11"/>
        <v>-2.4793659785176896</v>
      </c>
      <c r="N90" s="13">
        <f t="shared" si="12"/>
        <v>6.1472556554309801</v>
      </c>
    </row>
    <row r="91" spans="1:14">
      <c r="A91" t="s">
        <v>11</v>
      </c>
      <c r="B91" t="s">
        <v>8</v>
      </c>
      <c r="C91" t="s">
        <v>23</v>
      </c>
      <c r="D91" t="s">
        <v>24</v>
      </c>
      <c r="E91">
        <v>3</v>
      </c>
      <c r="F91">
        <v>2</v>
      </c>
      <c r="G91">
        <v>21.16</v>
      </c>
      <c r="H91" s="2">
        <f t="shared" si="7"/>
        <v>0</v>
      </c>
      <c r="I91">
        <f t="shared" si="8"/>
        <v>0</v>
      </c>
      <c r="J91">
        <f t="shared" si="9"/>
        <v>1</v>
      </c>
      <c r="K91">
        <f t="shared" si="10"/>
        <v>0</v>
      </c>
      <c r="L91" s="13">
        <f>Sheet1!$B$17+(Sheet1!$B$18*tips!F91)+(Sheet1!$B$19*tips!G91)+(Sheet1!$B$20*tips!H91)+(Sheet1!$B$21*tips!I91)+(Sheet1!$B$22*tips!J91)+(Sheet1!$B$23*tips!K91)</f>
        <v>3.0359985304258874</v>
      </c>
      <c r="M91" s="13">
        <f t="shared" si="11"/>
        <v>3.5998530425887409E-2</v>
      </c>
      <c r="N91" s="13">
        <f t="shared" si="12"/>
        <v>1.2958941928235415E-3</v>
      </c>
    </row>
    <row r="92" spans="1:14">
      <c r="A92" t="s">
        <v>11</v>
      </c>
      <c r="B92" t="s">
        <v>22</v>
      </c>
      <c r="C92" t="s">
        <v>25</v>
      </c>
      <c r="D92" t="s">
        <v>10</v>
      </c>
      <c r="E92">
        <v>3</v>
      </c>
      <c r="F92">
        <v>2</v>
      </c>
      <c r="G92">
        <v>28.97</v>
      </c>
      <c r="H92" s="2">
        <f t="shared" si="7"/>
        <v>0</v>
      </c>
      <c r="I92">
        <f t="shared" si="8"/>
        <v>1</v>
      </c>
      <c r="J92">
        <f t="shared" si="9"/>
        <v>2</v>
      </c>
      <c r="K92">
        <f t="shared" si="10"/>
        <v>1</v>
      </c>
      <c r="L92" s="13">
        <f>Sheet1!$B$17+(Sheet1!$B$18*tips!F92)+(Sheet1!$B$19*tips!G92)+(Sheet1!$B$20*tips!H92)+(Sheet1!$B$21*tips!I92)+(Sheet1!$B$22*tips!J92)+(Sheet1!$B$23*tips!K92)</f>
        <v>3.6363513232220286</v>
      </c>
      <c r="M92" s="13">
        <f t="shared" si="11"/>
        <v>0.63635132322202859</v>
      </c>
      <c r="N92" s="13">
        <f t="shared" si="12"/>
        <v>0.40494300656642668</v>
      </c>
    </row>
    <row r="93" spans="1:14">
      <c r="A93" t="s">
        <v>11</v>
      </c>
      <c r="B93" t="s">
        <v>8</v>
      </c>
      <c r="C93" t="s">
        <v>25</v>
      </c>
      <c r="D93" t="s">
        <v>10</v>
      </c>
      <c r="E93">
        <v>3.5</v>
      </c>
      <c r="F93">
        <v>2</v>
      </c>
      <c r="G93">
        <v>22.49</v>
      </c>
      <c r="H93" s="2">
        <f t="shared" si="7"/>
        <v>0</v>
      </c>
      <c r="I93">
        <f t="shared" si="8"/>
        <v>0</v>
      </c>
      <c r="J93">
        <f t="shared" si="9"/>
        <v>2</v>
      </c>
      <c r="K93">
        <f t="shared" si="10"/>
        <v>1</v>
      </c>
      <c r="L93" s="13">
        <f>Sheet1!$B$17+(Sheet1!$B$18*tips!F93)+(Sheet1!$B$19*tips!G93)+(Sheet1!$B$20*tips!H93)+(Sheet1!$B$21*tips!I93)+(Sheet1!$B$22*tips!J93)+(Sheet1!$B$23*tips!K93)</f>
        <v>3.0983680534357316</v>
      </c>
      <c r="M93" s="13">
        <f t="shared" si="11"/>
        <v>-0.40163194656426837</v>
      </c>
      <c r="N93" s="13">
        <f t="shared" si="12"/>
        <v>0.16130822050100332</v>
      </c>
    </row>
    <row r="94" spans="1:14">
      <c r="A94" t="s">
        <v>7</v>
      </c>
      <c r="B94" t="s">
        <v>22</v>
      </c>
      <c r="C94" t="s">
        <v>25</v>
      </c>
      <c r="D94" t="s">
        <v>10</v>
      </c>
      <c r="E94">
        <v>1</v>
      </c>
      <c r="F94">
        <v>2</v>
      </c>
      <c r="G94">
        <v>5.75</v>
      </c>
      <c r="H94" s="2">
        <f t="shared" si="7"/>
        <v>1</v>
      </c>
      <c r="I94">
        <f t="shared" si="8"/>
        <v>1</v>
      </c>
      <c r="J94">
        <f t="shared" si="9"/>
        <v>2</v>
      </c>
      <c r="K94">
        <f t="shared" si="10"/>
        <v>1</v>
      </c>
      <c r="L94" s="13">
        <f>Sheet1!$B$17+(Sheet1!$B$18*tips!F94)+(Sheet1!$B$19*tips!G94)+(Sheet1!$B$20*tips!H94)+(Sheet1!$B$21*tips!I94)+(Sheet1!$B$22*tips!J94)+(Sheet1!$B$23*tips!K94)</f>
        <v>1.4841849359235764</v>
      </c>
      <c r="M94" s="13">
        <f t="shared" si="11"/>
        <v>0.48418493592357637</v>
      </c>
      <c r="N94" s="13">
        <f t="shared" si="12"/>
        <v>0.23443505217531774</v>
      </c>
    </row>
    <row r="95" spans="1:14">
      <c r="A95" t="s">
        <v>7</v>
      </c>
      <c r="B95" t="s">
        <v>22</v>
      </c>
      <c r="C95" t="s">
        <v>25</v>
      </c>
      <c r="D95" t="s">
        <v>10</v>
      </c>
      <c r="E95">
        <v>4.3</v>
      </c>
      <c r="F95">
        <v>2</v>
      </c>
      <c r="G95">
        <v>16.32</v>
      </c>
      <c r="H95" s="2">
        <f t="shared" si="7"/>
        <v>1</v>
      </c>
      <c r="I95">
        <f t="shared" si="8"/>
        <v>1</v>
      </c>
      <c r="J95">
        <f t="shared" si="9"/>
        <v>2</v>
      </c>
      <c r="K95">
        <f t="shared" si="10"/>
        <v>1</v>
      </c>
      <c r="L95" s="13">
        <f>Sheet1!$B$17+(Sheet1!$B$18*tips!F95)+(Sheet1!$B$19*tips!G95)+(Sheet1!$B$20*tips!H95)+(Sheet1!$B$21*tips!I95)+(Sheet1!$B$22*tips!J95)+(Sheet1!$B$23*tips!K95)</f>
        <v>2.4805503276042478</v>
      </c>
      <c r="M95" s="13">
        <f t="shared" si="11"/>
        <v>-1.8194496723957521</v>
      </c>
      <c r="N95" s="13">
        <f t="shared" si="12"/>
        <v>3.3103971103810097</v>
      </c>
    </row>
    <row r="96" spans="1:14">
      <c r="A96" t="s">
        <v>7</v>
      </c>
      <c r="B96" t="s">
        <v>8</v>
      </c>
      <c r="C96" t="s">
        <v>25</v>
      </c>
      <c r="D96" t="s">
        <v>10</v>
      </c>
      <c r="E96">
        <v>3.25</v>
      </c>
      <c r="F96">
        <v>2</v>
      </c>
      <c r="G96">
        <v>22.75</v>
      </c>
      <c r="H96" s="2">
        <f t="shared" si="7"/>
        <v>1</v>
      </c>
      <c r="I96">
        <f t="shared" si="8"/>
        <v>0</v>
      </c>
      <c r="J96">
        <f t="shared" si="9"/>
        <v>2</v>
      </c>
      <c r="K96">
        <f t="shared" si="10"/>
        <v>1</v>
      </c>
      <c r="L96" s="13">
        <f>Sheet1!$B$17+(Sheet1!$B$18*tips!F96)+(Sheet1!$B$19*tips!G96)+(Sheet1!$B$20*tips!H96)+(Sheet1!$B$21*tips!I96)+(Sheet1!$B$22*tips!J96)+(Sheet1!$B$23*tips!K96)</f>
        <v>3.1595090830400387</v>
      </c>
      <c r="M96" s="13">
        <f t="shared" si="11"/>
        <v>-9.0490916959961254E-2</v>
      </c>
      <c r="N96" s="13">
        <f t="shared" si="12"/>
        <v>8.1886060522546027E-3</v>
      </c>
    </row>
    <row r="97" spans="1:14">
      <c r="A97" t="s">
        <v>11</v>
      </c>
      <c r="B97" t="s">
        <v>22</v>
      </c>
      <c r="C97" t="s">
        <v>25</v>
      </c>
      <c r="D97" t="s">
        <v>10</v>
      </c>
      <c r="E97">
        <v>4.7300000000000004</v>
      </c>
      <c r="F97">
        <v>4</v>
      </c>
      <c r="G97">
        <v>40.17</v>
      </c>
      <c r="H97" s="2">
        <f t="shared" si="7"/>
        <v>0</v>
      </c>
      <c r="I97">
        <f t="shared" si="8"/>
        <v>1</v>
      </c>
      <c r="J97">
        <f t="shared" si="9"/>
        <v>2</v>
      </c>
      <c r="K97">
        <f t="shared" si="10"/>
        <v>1</v>
      </c>
      <c r="L97" s="13">
        <f>Sheet1!$B$17+(Sheet1!$B$18*tips!F97)+(Sheet1!$B$19*tips!G97)+(Sheet1!$B$20*tips!H97)+(Sheet1!$B$21*tips!I97)+(Sheet1!$B$22*tips!J97)+(Sheet1!$B$23*tips!K97)</f>
        <v>5.0420314727194047</v>
      </c>
      <c r="M97" s="13">
        <f t="shared" si="11"/>
        <v>0.31203147271940423</v>
      </c>
      <c r="N97" s="13">
        <f t="shared" si="12"/>
        <v>9.736363996744031E-2</v>
      </c>
    </row>
    <row r="98" spans="1:14">
      <c r="A98" t="s">
        <v>11</v>
      </c>
      <c r="B98" t="s">
        <v>22</v>
      </c>
      <c r="C98" t="s">
        <v>25</v>
      </c>
      <c r="D98" t="s">
        <v>10</v>
      </c>
      <c r="E98">
        <v>4</v>
      </c>
      <c r="F98">
        <v>2</v>
      </c>
      <c r="G98">
        <v>27.28</v>
      </c>
      <c r="H98" s="2">
        <f t="shared" si="7"/>
        <v>0</v>
      </c>
      <c r="I98">
        <f t="shared" si="8"/>
        <v>1</v>
      </c>
      <c r="J98">
        <f t="shared" si="9"/>
        <v>2</v>
      </c>
      <c r="K98">
        <f t="shared" si="10"/>
        <v>1</v>
      </c>
      <c r="L98" s="13">
        <f>Sheet1!$B$17+(Sheet1!$B$18*tips!F98)+(Sheet1!$B$19*tips!G98)+(Sheet1!$B$20*tips!H98)+(Sheet1!$B$21*tips!I98)+(Sheet1!$B$22*tips!J98)+(Sheet1!$B$23*tips!K98)</f>
        <v>3.4770459767754507</v>
      </c>
      <c r="M98" s="13">
        <f t="shared" si="11"/>
        <v>-0.52295402322454931</v>
      </c>
      <c r="N98" s="13">
        <f t="shared" si="12"/>
        <v>0.27348091040674244</v>
      </c>
    </row>
    <row r="99" spans="1:14">
      <c r="A99" t="s">
        <v>11</v>
      </c>
      <c r="B99" t="s">
        <v>22</v>
      </c>
      <c r="C99" t="s">
        <v>25</v>
      </c>
      <c r="D99" t="s">
        <v>10</v>
      </c>
      <c r="E99">
        <v>1.5</v>
      </c>
      <c r="F99">
        <v>2</v>
      </c>
      <c r="G99">
        <v>12.03</v>
      </c>
      <c r="H99" s="2">
        <f t="shared" si="7"/>
        <v>0</v>
      </c>
      <c r="I99">
        <f t="shared" si="8"/>
        <v>1</v>
      </c>
      <c r="J99">
        <f t="shared" si="9"/>
        <v>2</v>
      </c>
      <c r="K99">
        <f t="shared" si="10"/>
        <v>1</v>
      </c>
      <c r="L99" s="13">
        <f>Sheet1!$B$17+(Sheet1!$B$18*tips!F99)+(Sheet1!$B$19*tips!G99)+(Sheet1!$B$20*tips!H99)+(Sheet1!$B$21*tips!I99)+(Sheet1!$B$22*tips!J99)+(Sheet1!$B$23*tips!K99)</f>
        <v>2.0395273180119466</v>
      </c>
      <c r="M99" s="13">
        <f t="shared" si="11"/>
        <v>0.53952731801194664</v>
      </c>
      <c r="N99" s="13">
        <f t="shared" si="12"/>
        <v>0.29108972688116419</v>
      </c>
    </row>
    <row r="100" spans="1:14">
      <c r="A100" t="s">
        <v>11</v>
      </c>
      <c r="B100" t="s">
        <v>22</v>
      </c>
      <c r="C100" t="s">
        <v>25</v>
      </c>
      <c r="D100" t="s">
        <v>10</v>
      </c>
      <c r="E100">
        <v>3</v>
      </c>
      <c r="F100">
        <v>2</v>
      </c>
      <c r="G100">
        <v>21.01</v>
      </c>
      <c r="H100" s="2">
        <f t="shared" si="7"/>
        <v>0</v>
      </c>
      <c r="I100">
        <f t="shared" si="8"/>
        <v>1</v>
      </c>
      <c r="J100">
        <f t="shared" si="9"/>
        <v>2</v>
      </c>
      <c r="K100">
        <f t="shared" si="10"/>
        <v>1</v>
      </c>
      <c r="L100" s="13">
        <f>Sheet1!$B$17+(Sheet1!$B$18*tips!F100)+(Sheet1!$B$19*tips!G100)+(Sheet1!$B$20*tips!H100)+(Sheet1!$B$21*tips!I100)+(Sheet1!$B$22*tips!J100)+(Sheet1!$B$23*tips!K100)</f>
        <v>2.8860137151067837</v>
      </c>
      <c r="M100" s="13">
        <f t="shared" si="11"/>
        <v>-0.11398628489321627</v>
      </c>
      <c r="N100" s="13">
        <f t="shared" si="12"/>
        <v>1.2992873143757465E-2</v>
      </c>
    </row>
    <row r="101" spans="1:14">
      <c r="A101" t="s">
        <v>11</v>
      </c>
      <c r="B101" t="s">
        <v>8</v>
      </c>
      <c r="C101" t="s">
        <v>25</v>
      </c>
      <c r="D101" t="s">
        <v>10</v>
      </c>
      <c r="E101">
        <v>1.5</v>
      </c>
      <c r="F101">
        <v>2</v>
      </c>
      <c r="G101">
        <v>12.46</v>
      </c>
      <c r="H101" s="2">
        <f t="shared" si="7"/>
        <v>0</v>
      </c>
      <c r="I101">
        <f t="shared" si="8"/>
        <v>0</v>
      </c>
      <c r="J101">
        <f t="shared" si="9"/>
        <v>2</v>
      </c>
      <c r="K101">
        <f t="shared" si="10"/>
        <v>1</v>
      </c>
      <c r="L101" s="13">
        <f>Sheet1!$B$17+(Sheet1!$B$18*tips!F101)+(Sheet1!$B$19*tips!G101)+(Sheet1!$B$20*tips!H101)+(Sheet1!$B$21*tips!I101)+(Sheet1!$B$22*tips!J101)+(Sheet1!$B$23*tips!K101)</f>
        <v>2.1529049618030798</v>
      </c>
      <c r="M101" s="13">
        <f t="shared" si="11"/>
        <v>0.65290496180307978</v>
      </c>
      <c r="N101" s="13">
        <f t="shared" si="12"/>
        <v>0.42628488914708107</v>
      </c>
    </row>
    <row r="102" spans="1:14">
      <c r="A102" t="s">
        <v>7</v>
      </c>
      <c r="B102" t="s">
        <v>22</v>
      </c>
      <c r="C102" t="s">
        <v>25</v>
      </c>
      <c r="D102" t="s">
        <v>10</v>
      </c>
      <c r="E102">
        <v>2.5</v>
      </c>
      <c r="F102">
        <v>2</v>
      </c>
      <c r="G102">
        <v>11.35</v>
      </c>
      <c r="H102" s="2">
        <f t="shared" si="7"/>
        <v>1</v>
      </c>
      <c r="I102">
        <f t="shared" si="8"/>
        <v>1</v>
      </c>
      <c r="J102">
        <f t="shared" si="9"/>
        <v>2</v>
      </c>
      <c r="K102">
        <f t="shared" si="10"/>
        <v>1</v>
      </c>
      <c r="L102" s="13">
        <f>Sheet1!$B$17+(Sheet1!$B$18*tips!F102)+(Sheet1!$B$19*tips!G102)+(Sheet1!$B$20*tips!H102)+(Sheet1!$B$21*tips!I102)+(Sheet1!$B$22*tips!J102)+(Sheet1!$B$23*tips!K102)</f>
        <v>2.0120606401252568</v>
      </c>
      <c r="M102" s="13">
        <f t="shared" si="11"/>
        <v>-0.48793935987474324</v>
      </c>
      <c r="N102" s="13">
        <f t="shared" si="12"/>
        <v>0.23808481891497418</v>
      </c>
    </row>
    <row r="103" spans="1:14">
      <c r="A103" t="s">
        <v>7</v>
      </c>
      <c r="B103" t="s">
        <v>22</v>
      </c>
      <c r="C103" t="s">
        <v>25</v>
      </c>
      <c r="D103" t="s">
        <v>10</v>
      </c>
      <c r="E103">
        <v>3</v>
      </c>
      <c r="F103">
        <v>2</v>
      </c>
      <c r="G103">
        <v>15.38</v>
      </c>
      <c r="H103" s="2">
        <f t="shared" si="7"/>
        <v>1</v>
      </c>
      <c r="I103">
        <f t="shared" si="8"/>
        <v>1</v>
      </c>
      <c r="J103">
        <f t="shared" si="9"/>
        <v>2</v>
      </c>
      <c r="K103">
        <f t="shared" si="10"/>
        <v>1</v>
      </c>
      <c r="L103" s="13">
        <f>Sheet1!$B$17+(Sheet1!$B$18*tips!F103)+(Sheet1!$B$19*tips!G103)+(Sheet1!$B$20*tips!H103)+(Sheet1!$B$21*tips!I103)+(Sheet1!$B$22*tips!J103)+(Sheet1!$B$23*tips!K103)</f>
        <v>2.3919426201132516</v>
      </c>
      <c r="M103" s="13">
        <f t="shared" si="11"/>
        <v>-0.60805737988674835</v>
      </c>
      <c r="N103" s="13">
        <f t="shared" si="12"/>
        <v>0.36973377723473738</v>
      </c>
    </row>
    <row r="104" spans="1:14">
      <c r="A104" t="s">
        <v>7</v>
      </c>
      <c r="B104" t="s">
        <v>22</v>
      </c>
      <c r="C104" t="s">
        <v>21</v>
      </c>
      <c r="D104" t="s">
        <v>10</v>
      </c>
      <c r="E104">
        <v>2.5</v>
      </c>
      <c r="F104">
        <v>3</v>
      </c>
      <c r="G104">
        <v>44.3</v>
      </c>
      <c r="H104" s="2">
        <f t="shared" si="7"/>
        <v>1</v>
      </c>
      <c r="I104">
        <f t="shared" si="8"/>
        <v>1</v>
      </c>
      <c r="J104">
        <f t="shared" si="9"/>
        <v>3</v>
      </c>
      <c r="K104">
        <f t="shared" si="10"/>
        <v>1</v>
      </c>
      <c r="L104" s="13">
        <f>Sheet1!$B$17+(Sheet1!$B$18*tips!F104)+(Sheet1!$B$19*tips!G104)+(Sheet1!$B$20*tips!H104)+(Sheet1!$B$21*tips!I104)+(Sheet1!$B$22*tips!J104)+(Sheet1!$B$23*tips!K104)</f>
        <v>5.3460132537704421</v>
      </c>
      <c r="M104" s="13">
        <f t="shared" si="11"/>
        <v>2.8460132537704421</v>
      </c>
      <c r="N104" s="13">
        <f t="shared" si="12"/>
        <v>8.0997914406370182</v>
      </c>
    </row>
    <row r="105" spans="1:14">
      <c r="A105" t="s">
        <v>7</v>
      </c>
      <c r="B105" t="s">
        <v>22</v>
      </c>
      <c r="C105" t="s">
        <v>21</v>
      </c>
      <c r="D105" t="s">
        <v>10</v>
      </c>
      <c r="E105">
        <v>3.48</v>
      </c>
      <c r="F105">
        <v>2</v>
      </c>
      <c r="G105">
        <v>22.42</v>
      </c>
      <c r="H105" s="2">
        <f t="shared" si="7"/>
        <v>1</v>
      </c>
      <c r="I105">
        <f t="shared" si="8"/>
        <v>1</v>
      </c>
      <c r="J105">
        <f t="shared" si="9"/>
        <v>3</v>
      </c>
      <c r="K105">
        <f t="shared" si="10"/>
        <v>1</v>
      </c>
      <c r="L105" s="13">
        <f>Sheet1!$B$17+(Sheet1!$B$18*tips!F105)+(Sheet1!$B$19*tips!G105)+(Sheet1!$B$20*tips!H105)+(Sheet1!$B$21*tips!I105)+(Sheet1!$B$22*tips!J105)+(Sheet1!$B$23*tips!K105)</f>
        <v>3.1085630960925847</v>
      </c>
      <c r="M105" s="13">
        <f t="shared" si="11"/>
        <v>-0.37143690390741524</v>
      </c>
      <c r="N105" s="13">
        <f t="shared" si="12"/>
        <v>0.13796537358432642</v>
      </c>
    </row>
    <row r="106" spans="1:14">
      <c r="A106" t="s">
        <v>7</v>
      </c>
      <c r="B106" t="s">
        <v>8</v>
      </c>
      <c r="C106" t="s">
        <v>21</v>
      </c>
      <c r="D106" t="s">
        <v>10</v>
      </c>
      <c r="E106">
        <v>4.08</v>
      </c>
      <c r="F106">
        <v>2</v>
      </c>
      <c r="G106">
        <v>20.92</v>
      </c>
      <c r="H106" s="2">
        <f t="shared" si="7"/>
        <v>1</v>
      </c>
      <c r="I106">
        <f t="shared" si="8"/>
        <v>0</v>
      </c>
      <c r="J106">
        <f t="shared" si="9"/>
        <v>3</v>
      </c>
      <c r="K106">
        <f t="shared" si="10"/>
        <v>1</v>
      </c>
      <c r="L106" s="13">
        <f>Sheet1!$B$17+(Sheet1!$B$18*tips!F106)+(Sheet1!$B$19*tips!G106)+(Sheet1!$B$20*tips!H106)+(Sheet1!$B$21*tips!I106)+(Sheet1!$B$22*tips!J106)+(Sheet1!$B$23*tips!K106)</f>
        <v>3.0400121489713539</v>
      </c>
      <c r="M106" s="13">
        <f t="shared" si="11"/>
        <v>-1.0399878510286462</v>
      </c>
      <c r="N106" s="13">
        <f t="shared" si="12"/>
        <v>1.0815747302871817</v>
      </c>
    </row>
    <row r="107" spans="1:14">
      <c r="A107" t="s">
        <v>11</v>
      </c>
      <c r="B107" t="s">
        <v>22</v>
      </c>
      <c r="C107" t="s">
        <v>21</v>
      </c>
      <c r="D107" t="s">
        <v>10</v>
      </c>
      <c r="E107">
        <v>1.64</v>
      </c>
      <c r="F107">
        <v>2</v>
      </c>
      <c r="G107">
        <v>15.36</v>
      </c>
      <c r="H107" s="2">
        <f t="shared" si="7"/>
        <v>0</v>
      </c>
      <c r="I107">
        <f t="shared" si="8"/>
        <v>1</v>
      </c>
      <c r="J107">
        <f t="shared" si="9"/>
        <v>3</v>
      </c>
      <c r="K107">
        <f t="shared" si="10"/>
        <v>1</v>
      </c>
      <c r="L107" s="13">
        <f>Sheet1!$B$17+(Sheet1!$B$18*tips!F107)+(Sheet1!$B$19*tips!G107)+(Sheet1!$B$20*tips!H107)+(Sheet1!$B$21*tips!I107)+(Sheet1!$B$22*tips!J107)+(Sheet1!$B$23*tips!K107)</f>
        <v>2.4064301399576666</v>
      </c>
      <c r="M107" s="13">
        <f t="shared" si="11"/>
        <v>0.76643013995766673</v>
      </c>
      <c r="N107" s="13">
        <f t="shared" si="12"/>
        <v>0.58741515943552858</v>
      </c>
    </row>
    <row r="108" spans="1:14">
      <c r="A108" t="s">
        <v>11</v>
      </c>
      <c r="B108" t="s">
        <v>22</v>
      </c>
      <c r="C108" t="s">
        <v>21</v>
      </c>
      <c r="D108" t="s">
        <v>10</v>
      </c>
      <c r="E108">
        <v>4.0599999999999996</v>
      </c>
      <c r="F108">
        <v>2</v>
      </c>
      <c r="G108">
        <v>20.49</v>
      </c>
      <c r="H108" s="2">
        <f t="shared" si="7"/>
        <v>0</v>
      </c>
      <c r="I108">
        <f t="shared" si="8"/>
        <v>1</v>
      </c>
      <c r="J108">
        <f t="shared" si="9"/>
        <v>3</v>
      </c>
      <c r="K108">
        <f t="shared" si="10"/>
        <v>1</v>
      </c>
      <c r="L108" s="13">
        <f>Sheet1!$B$17+(Sheet1!$B$18*tips!F108)+(Sheet1!$B$19*tips!G108)+(Sheet1!$B$20*tips!H108)+(Sheet1!$B$21*tips!I108)+(Sheet1!$B$22*tips!J108)+(Sheet1!$B$23*tips!K108)</f>
        <v>2.8900019904138485</v>
      </c>
      <c r="M108" s="13">
        <f t="shared" si="11"/>
        <v>-1.1699980095861511</v>
      </c>
      <c r="N108" s="13">
        <f t="shared" si="12"/>
        <v>1.3688953424355552</v>
      </c>
    </row>
    <row r="109" spans="1:14">
      <c r="A109" t="s">
        <v>11</v>
      </c>
      <c r="B109" t="s">
        <v>22</v>
      </c>
      <c r="C109" t="s">
        <v>21</v>
      </c>
      <c r="D109" t="s">
        <v>10</v>
      </c>
      <c r="E109">
        <v>4.29</v>
      </c>
      <c r="F109">
        <v>2</v>
      </c>
      <c r="G109">
        <v>25.21</v>
      </c>
      <c r="H109" s="2">
        <f t="shared" si="7"/>
        <v>0</v>
      </c>
      <c r="I109">
        <f t="shared" si="8"/>
        <v>1</v>
      </c>
      <c r="J109">
        <f t="shared" si="9"/>
        <v>3</v>
      </c>
      <c r="K109">
        <f t="shared" si="10"/>
        <v>1</v>
      </c>
      <c r="L109" s="13">
        <f>Sheet1!$B$17+(Sheet1!$B$18*tips!F109)+(Sheet1!$B$19*tips!G109)+(Sheet1!$B$20*tips!H109)+(Sheet1!$B$21*tips!I109)+(Sheet1!$B$22*tips!J109)+(Sheet1!$B$23*tips!K109)</f>
        <v>3.3349257982409788</v>
      </c>
      <c r="M109" s="13">
        <f t="shared" si="11"/>
        <v>-0.95507420175902125</v>
      </c>
      <c r="N109" s="13">
        <f t="shared" si="12"/>
        <v>0.9121667308656316</v>
      </c>
    </row>
    <row r="110" spans="1:14">
      <c r="A110" t="s">
        <v>11</v>
      </c>
      <c r="B110" t="s">
        <v>8</v>
      </c>
      <c r="C110" t="s">
        <v>21</v>
      </c>
      <c r="D110" t="s">
        <v>10</v>
      </c>
      <c r="E110">
        <v>3.76</v>
      </c>
      <c r="F110">
        <v>2</v>
      </c>
      <c r="G110">
        <v>18.239999999999998</v>
      </c>
      <c r="H110" s="2">
        <f t="shared" si="7"/>
        <v>0</v>
      </c>
      <c r="I110">
        <f t="shared" si="8"/>
        <v>0</v>
      </c>
      <c r="J110">
        <f t="shared" si="9"/>
        <v>3</v>
      </c>
      <c r="K110">
        <f t="shared" si="10"/>
        <v>1</v>
      </c>
      <c r="L110" s="13">
        <f>Sheet1!$B$17+(Sheet1!$B$18*tips!F110)+(Sheet1!$B$19*tips!G110)+(Sheet1!$B$20*tips!H110)+(Sheet1!$B$21*tips!I110)+(Sheet1!$B$22*tips!J110)+(Sheet1!$B$23*tips!K110)</f>
        <v>2.750753404337035</v>
      </c>
      <c r="M110" s="13">
        <f t="shared" si="11"/>
        <v>-1.0092465956629648</v>
      </c>
      <c r="N110" s="13">
        <f t="shared" si="12"/>
        <v>1.018578690857284</v>
      </c>
    </row>
    <row r="111" spans="1:14">
      <c r="A111" t="s">
        <v>7</v>
      </c>
      <c r="B111" t="s">
        <v>22</v>
      </c>
      <c r="C111" t="s">
        <v>21</v>
      </c>
      <c r="D111" t="s">
        <v>10</v>
      </c>
      <c r="E111">
        <v>4</v>
      </c>
      <c r="F111">
        <v>2</v>
      </c>
      <c r="G111">
        <v>14.31</v>
      </c>
      <c r="H111" s="2">
        <f t="shared" si="7"/>
        <v>1</v>
      </c>
      <c r="I111">
        <f t="shared" si="8"/>
        <v>1</v>
      </c>
      <c r="J111">
        <f t="shared" si="9"/>
        <v>3</v>
      </c>
      <c r="K111">
        <f t="shared" si="10"/>
        <v>1</v>
      </c>
      <c r="L111" s="13">
        <f>Sheet1!$B$17+(Sheet1!$B$18*tips!F111)+(Sheet1!$B$19*tips!G111)+(Sheet1!$B$20*tips!H111)+(Sheet1!$B$21*tips!I111)+(Sheet1!$B$22*tips!J111)+(Sheet1!$B$23*tips!K111)</f>
        <v>2.3440859601862232</v>
      </c>
      <c r="M111" s="13">
        <f t="shared" si="11"/>
        <v>-1.6559140398137768</v>
      </c>
      <c r="N111" s="13">
        <f t="shared" si="12"/>
        <v>2.7420513072523827</v>
      </c>
    </row>
    <row r="112" spans="1:14">
      <c r="A112" t="s">
        <v>11</v>
      </c>
      <c r="B112" t="s">
        <v>8</v>
      </c>
      <c r="C112" t="s">
        <v>21</v>
      </c>
      <c r="D112" t="s">
        <v>10</v>
      </c>
      <c r="E112">
        <v>3</v>
      </c>
      <c r="F112">
        <v>2</v>
      </c>
      <c r="G112">
        <v>14</v>
      </c>
      <c r="H112" s="2">
        <f t="shared" si="7"/>
        <v>0</v>
      </c>
      <c r="I112">
        <f t="shared" si="8"/>
        <v>0</v>
      </c>
      <c r="J112">
        <f t="shared" si="9"/>
        <v>3</v>
      </c>
      <c r="K112">
        <f t="shared" si="10"/>
        <v>1</v>
      </c>
      <c r="L112" s="13">
        <f>Sheet1!$B$17+(Sheet1!$B$18*tips!F112)+(Sheet1!$B$19*tips!G112)+(Sheet1!$B$20*tips!H112)+(Sheet1!$B$21*tips!I112)+(Sheet1!$B$22*tips!J112)+(Sheet1!$B$23*tips!K112)</f>
        <v>2.3510760854414774</v>
      </c>
      <c r="M112" s="13">
        <f t="shared" si="11"/>
        <v>-0.64892391455852261</v>
      </c>
      <c r="N112" s="13">
        <f t="shared" si="12"/>
        <v>0.42110224688595677</v>
      </c>
    </row>
    <row r="113" spans="1:14">
      <c r="A113" t="s">
        <v>7</v>
      </c>
      <c r="B113" t="s">
        <v>8</v>
      </c>
      <c r="C113" t="s">
        <v>21</v>
      </c>
      <c r="D113" t="s">
        <v>10</v>
      </c>
      <c r="E113">
        <v>1</v>
      </c>
      <c r="F113">
        <v>1</v>
      </c>
      <c r="G113">
        <v>7.25</v>
      </c>
      <c r="H113" s="2">
        <f t="shared" si="7"/>
        <v>1</v>
      </c>
      <c r="I113">
        <f t="shared" si="8"/>
        <v>0</v>
      </c>
      <c r="J113">
        <f t="shared" si="9"/>
        <v>3</v>
      </c>
      <c r="K113">
        <f t="shared" si="10"/>
        <v>1</v>
      </c>
      <c r="L113" s="13">
        <f>Sheet1!$B$17+(Sheet1!$B$18*tips!F113)+(Sheet1!$B$19*tips!G113)+(Sheet1!$B$20*tips!H113)+(Sheet1!$B$21*tips!I113)+(Sheet1!$B$22*tips!J113)+(Sheet1!$B$23*tips!K113)</f>
        <v>1.5764654790606016</v>
      </c>
      <c r="M113" s="13">
        <f t="shared" si="11"/>
        <v>0.57646547906060164</v>
      </c>
      <c r="N113" s="13">
        <f t="shared" si="12"/>
        <v>0.33231244854856895</v>
      </c>
    </row>
    <row r="114" spans="1:14">
      <c r="A114" t="s">
        <v>11</v>
      </c>
      <c r="B114" t="s">
        <v>8</v>
      </c>
      <c r="C114" t="s">
        <v>9</v>
      </c>
      <c r="D114" t="s">
        <v>10</v>
      </c>
      <c r="E114">
        <v>4</v>
      </c>
      <c r="F114">
        <v>3</v>
      </c>
      <c r="G114">
        <v>38.07</v>
      </c>
      <c r="H114" s="2">
        <f t="shared" si="7"/>
        <v>0</v>
      </c>
      <c r="I114">
        <f t="shared" si="8"/>
        <v>0</v>
      </c>
      <c r="J114">
        <f t="shared" si="9"/>
        <v>4</v>
      </c>
      <c r="K114">
        <f t="shared" si="10"/>
        <v>1</v>
      </c>
      <c r="L114" s="13">
        <f>Sheet1!$B$17+(Sheet1!$B$18*tips!F114)+(Sheet1!$B$19*tips!G114)+(Sheet1!$B$20*tips!H114)+(Sheet1!$B$21*tips!I114)+(Sheet1!$B$22*tips!J114)+(Sheet1!$B$23*tips!K114)</f>
        <v>4.8479686538525719</v>
      </c>
      <c r="M114" s="13">
        <f t="shared" si="11"/>
        <v>0.84796865385257192</v>
      </c>
      <c r="N114" s="13">
        <f t="shared" si="12"/>
        <v>0.7190508379165429</v>
      </c>
    </row>
    <row r="115" spans="1:14">
      <c r="A115" t="s">
        <v>11</v>
      </c>
      <c r="B115" t="s">
        <v>8</v>
      </c>
      <c r="C115" t="s">
        <v>9</v>
      </c>
      <c r="D115" t="s">
        <v>10</v>
      </c>
      <c r="E115">
        <v>2.5499999999999998</v>
      </c>
      <c r="F115">
        <v>2</v>
      </c>
      <c r="G115">
        <v>23.95</v>
      </c>
      <c r="H115" s="2">
        <f t="shared" si="7"/>
        <v>0</v>
      </c>
      <c r="I115">
        <f t="shared" si="8"/>
        <v>0</v>
      </c>
      <c r="J115">
        <f t="shared" si="9"/>
        <v>4</v>
      </c>
      <c r="K115">
        <f t="shared" si="10"/>
        <v>1</v>
      </c>
      <c r="L115" s="13">
        <f>Sheet1!$B$17+(Sheet1!$B$18*tips!F115)+(Sheet1!$B$19*tips!G115)+(Sheet1!$B$20*tips!H115)+(Sheet1!$B$21*tips!I115)+(Sheet1!$B$22*tips!J115)+(Sheet1!$B$23*tips!K115)</f>
        <v>3.34200340056847</v>
      </c>
      <c r="M115" s="13">
        <f t="shared" si="11"/>
        <v>0.79200340056847018</v>
      </c>
      <c r="N115" s="13">
        <f t="shared" si="12"/>
        <v>0.62726938651202069</v>
      </c>
    </row>
    <row r="116" spans="1:14">
      <c r="A116" t="s">
        <v>7</v>
      </c>
      <c r="B116" t="s">
        <v>8</v>
      </c>
      <c r="C116" t="s">
        <v>9</v>
      </c>
      <c r="D116" t="s">
        <v>10</v>
      </c>
      <c r="E116">
        <v>4</v>
      </c>
      <c r="F116">
        <v>3</v>
      </c>
      <c r="G116">
        <v>25.71</v>
      </c>
      <c r="H116" s="2">
        <f t="shared" si="7"/>
        <v>1</v>
      </c>
      <c r="I116">
        <f t="shared" si="8"/>
        <v>0</v>
      </c>
      <c r="J116">
        <f t="shared" si="9"/>
        <v>4</v>
      </c>
      <c r="K116">
        <f t="shared" si="10"/>
        <v>1</v>
      </c>
      <c r="L116" s="13">
        <f>Sheet1!$B$17+(Sheet1!$B$18*tips!F116)+(Sheet1!$B$19*tips!G116)+(Sheet1!$B$20*tips!H116)+(Sheet1!$B$21*tips!I116)+(Sheet1!$B$22*tips!J116)+(Sheet1!$B$23*tips!K116)</f>
        <v>3.719504078630949</v>
      </c>
      <c r="M116" s="13">
        <f t="shared" si="11"/>
        <v>-0.28049592136905099</v>
      </c>
      <c r="N116" s="13">
        <f t="shared" si="12"/>
        <v>7.8677961904672841E-2</v>
      </c>
    </row>
    <row r="117" spans="1:14">
      <c r="A117" t="s">
        <v>7</v>
      </c>
      <c r="B117" t="s">
        <v>8</v>
      </c>
      <c r="C117" t="s">
        <v>9</v>
      </c>
      <c r="D117" t="s">
        <v>10</v>
      </c>
      <c r="E117">
        <v>3.5</v>
      </c>
      <c r="F117">
        <v>2</v>
      </c>
      <c r="G117">
        <v>17.309999999999999</v>
      </c>
      <c r="H117" s="2">
        <f t="shared" si="7"/>
        <v>1</v>
      </c>
      <c r="I117">
        <f t="shared" si="8"/>
        <v>0</v>
      </c>
      <c r="J117">
        <f t="shared" si="9"/>
        <v>4</v>
      </c>
      <c r="K117">
        <f t="shared" si="10"/>
        <v>1</v>
      </c>
      <c r="L117" s="13">
        <f>Sheet1!$B$17+(Sheet1!$B$18*tips!F117)+(Sheet1!$B$19*tips!G117)+(Sheet1!$B$20*tips!H117)+(Sheet1!$B$21*tips!I117)+(Sheet1!$B$22*tips!J117)+(Sheet1!$B$23*tips!K117)</f>
        <v>2.7527261517814208</v>
      </c>
      <c r="M117" s="13">
        <f t="shared" si="11"/>
        <v>-0.74727384821857923</v>
      </c>
      <c r="N117" s="13">
        <f t="shared" si="12"/>
        <v>0.5584182042314042</v>
      </c>
    </row>
    <row r="118" spans="1:14">
      <c r="A118" t="s">
        <v>11</v>
      </c>
      <c r="B118" t="s">
        <v>8</v>
      </c>
      <c r="C118" t="s">
        <v>9</v>
      </c>
      <c r="D118" t="s">
        <v>10</v>
      </c>
      <c r="E118">
        <v>5.07</v>
      </c>
      <c r="F118">
        <v>4</v>
      </c>
      <c r="G118">
        <v>29.93</v>
      </c>
      <c r="H118" s="2">
        <f t="shared" si="7"/>
        <v>0</v>
      </c>
      <c r="I118">
        <f t="shared" si="8"/>
        <v>0</v>
      </c>
      <c r="J118">
        <f t="shared" si="9"/>
        <v>4</v>
      </c>
      <c r="K118">
        <f t="shared" si="10"/>
        <v>1</v>
      </c>
      <c r="L118" s="13">
        <f>Sheet1!$B$17+(Sheet1!$B$18*tips!F118)+(Sheet1!$B$19*tips!G118)+(Sheet1!$B$20*tips!H118)+(Sheet1!$B$21*tips!I118)+(Sheet1!$B$22*tips!J118)+(Sheet1!$B$23*tips!K118)</f>
        <v>4.2556279829349943</v>
      </c>
      <c r="M118" s="13">
        <f t="shared" si="11"/>
        <v>-0.81437201706500595</v>
      </c>
      <c r="N118" s="13">
        <f t="shared" si="12"/>
        <v>0.66320178217852632</v>
      </c>
    </row>
    <row r="119" spans="1:14">
      <c r="A119" t="s">
        <v>7</v>
      </c>
      <c r="B119" t="s">
        <v>8</v>
      </c>
      <c r="C119" t="s">
        <v>23</v>
      </c>
      <c r="D119" t="s">
        <v>24</v>
      </c>
      <c r="E119">
        <v>1.5</v>
      </c>
      <c r="F119">
        <v>2</v>
      </c>
      <c r="G119">
        <v>10.65</v>
      </c>
      <c r="H119" s="2">
        <f t="shared" si="7"/>
        <v>1</v>
      </c>
      <c r="I119">
        <f t="shared" si="8"/>
        <v>0</v>
      </c>
      <c r="J119">
        <f t="shared" si="9"/>
        <v>1</v>
      </c>
      <c r="K119">
        <f t="shared" si="10"/>
        <v>0</v>
      </c>
      <c r="L119" s="13">
        <f>Sheet1!$B$17+(Sheet1!$B$18*tips!F119)+(Sheet1!$B$19*tips!G119)+(Sheet1!$B$20*tips!H119)+(Sheet1!$B$21*tips!I119)+(Sheet1!$B$22*tips!J119)+(Sheet1!$B$23*tips!K119)</f>
        <v>2.0819214646280337</v>
      </c>
      <c r="M119" s="13">
        <f t="shared" si="11"/>
        <v>0.58192146462803374</v>
      </c>
      <c r="N119" s="13">
        <f t="shared" si="12"/>
        <v>0.33863259099483589</v>
      </c>
    </row>
    <row r="120" spans="1:14">
      <c r="A120" t="s">
        <v>7</v>
      </c>
      <c r="B120" t="s">
        <v>8</v>
      </c>
      <c r="C120" t="s">
        <v>23</v>
      </c>
      <c r="D120" t="s">
        <v>24</v>
      </c>
      <c r="E120">
        <v>1.8</v>
      </c>
      <c r="F120">
        <v>2</v>
      </c>
      <c r="G120">
        <v>12.43</v>
      </c>
      <c r="H120" s="2">
        <f t="shared" si="7"/>
        <v>1</v>
      </c>
      <c r="I120">
        <f t="shared" si="8"/>
        <v>0</v>
      </c>
      <c r="J120">
        <f t="shared" si="9"/>
        <v>1</v>
      </c>
      <c r="K120">
        <f t="shared" si="10"/>
        <v>0</v>
      </c>
      <c r="L120" s="13">
        <f>Sheet1!$B$17+(Sheet1!$B$18*tips!F120)+(Sheet1!$B$19*tips!G120)+(Sheet1!$B$20*tips!H120)+(Sheet1!$B$21*tips!I120)+(Sheet1!$B$22*tips!J120)+(Sheet1!$B$23*tips!K120)</f>
        <v>2.2497105277492824</v>
      </c>
      <c r="M120" s="13">
        <f t="shared" si="11"/>
        <v>0.44971052774928233</v>
      </c>
      <c r="N120" s="13">
        <f t="shared" si="12"/>
        <v>0.20223955876853802</v>
      </c>
    </row>
    <row r="121" spans="1:14">
      <c r="A121" t="s">
        <v>7</v>
      </c>
      <c r="B121" t="s">
        <v>8</v>
      </c>
      <c r="C121" t="s">
        <v>23</v>
      </c>
      <c r="D121" t="s">
        <v>24</v>
      </c>
      <c r="E121">
        <v>2.92</v>
      </c>
      <c r="F121">
        <v>4</v>
      </c>
      <c r="G121">
        <v>24.08</v>
      </c>
      <c r="H121" s="2">
        <f t="shared" si="7"/>
        <v>1</v>
      </c>
      <c r="I121">
        <f t="shared" si="8"/>
        <v>0</v>
      </c>
      <c r="J121">
        <f t="shared" si="9"/>
        <v>1</v>
      </c>
      <c r="K121">
        <f t="shared" si="10"/>
        <v>0</v>
      </c>
      <c r="L121" s="13">
        <f>Sheet1!$B$17+(Sheet1!$B$18*tips!F121)+(Sheet1!$B$19*tips!G121)+(Sheet1!$B$20*tips!H121)+(Sheet1!$B$21*tips!I121)+(Sheet1!$B$22*tips!J121)+(Sheet1!$B$23*tips!K121)</f>
        <v>3.6978092606200081</v>
      </c>
      <c r="M121" s="13">
        <f t="shared" si="11"/>
        <v>0.77780926062000821</v>
      </c>
      <c r="N121" s="13">
        <f t="shared" si="12"/>
        <v>0.60498724590624386</v>
      </c>
    </row>
    <row r="122" spans="1:14">
      <c r="A122" t="s">
        <v>11</v>
      </c>
      <c r="B122" t="s">
        <v>8</v>
      </c>
      <c r="C122" t="s">
        <v>23</v>
      </c>
      <c r="D122" t="s">
        <v>24</v>
      </c>
      <c r="E122">
        <v>2.31</v>
      </c>
      <c r="F122">
        <v>2</v>
      </c>
      <c r="G122">
        <v>11.69</v>
      </c>
      <c r="H122" s="2">
        <f t="shared" si="7"/>
        <v>0</v>
      </c>
      <c r="I122">
        <f t="shared" si="8"/>
        <v>0</v>
      </c>
      <c r="J122">
        <f t="shared" si="9"/>
        <v>1</v>
      </c>
      <c r="K122">
        <f t="shared" si="10"/>
        <v>0</v>
      </c>
      <c r="L122" s="13">
        <f>Sheet1!$B$17+(Sheet1!$B$18*tips!F122)+(Sheet1!$B$19*tips!G122)+(Sheet1!$B$20*tips!H122)+(Sheet1!$B$21*tips!I122)+(Sheet1!$B$22*tips!J122)+(Sheet1!$B$23*tips!K122)</f>
        <v>2.143323009213403</v>
      </c>
      <c r="M122" s="13">
        <f t="shared" si="11"/>
        <v>-0.16667699078659703</v>
      </c>
      <c r="N122" s="13">
        <f t="shared" si="12"/>
        <v>2.7781219257675353E-2</v>
      </c>
    </row>
    <row r="123" spans="1:14">
      <c r="A123" t="s">
        <v>7</v>
      </c>
      <c r="B123" t="s">
        <v>8</v>
      </c>
      <c r="C123" t="s">
        <v>23</v>
      </c>
      <c r="D123" t="s">
        <v>24</v>
      </c>
      <c r="E123">
        <v>1.68</v>
      </c>
      <c r="F123">
        <v>2</v>
      </c>
      <c r="G123">
        <v>13.42</v>
      </c>
      <c r="H123" s="2">
        <f t="shared" si="7"/>
        <v>1</v>
      </c>
      <c r="I123">
        <f t="shared" si="8"/>
        <v>0</v>
      </c>
      <c r="J123">
        <f t="shared" si="9"/>
        <v>1</v>
      </c>
      <c r="K123">
        <f t="shared" si="10"/>
        <v>0</v>
      </c>
      <c r="L123" s="13">
        <f>Sheet1!$B$17+(Sheet1!$B$18*tips!F123)+(Sheet1!$B$19*tips!G123)+(Sheet1!$B$20*tips!H123)+(Sheet1!$B$21*tips!I123)+(Sheet1!$B$22*tips!J123)+(Sheet1!$B$23*tips!K123)</f>
        <v>2.3430314111706507</v>
      </c>
      <c r="M123" s="13">
        <f t="shared" si="11"/>
        <v>0.66303141117065079</v>
      </c>
      <c r="N123" s="13">
        <f t="shared" si="12"/>
        <v>0.43961065219894457</v>
      </c>
    </row>
    <row r="124" spans="1:14">
      <c r="A124" t="s">
        <v>11</v>
      </c>
      <c r="B124" t="s">
        <v>8</v>
      </c>
      <c r="C124" t="s">
        <v>23</v>
      </c>
      <c r="D124" t="s">
        <v>24</v>
      </c>
      <c r="E124">
        <v>2.5</v>
      </c>
      <c r="F124">
        <v>2</v>
      </c>
      <c r="G124">
        <v>14.26</v>
      </c>
      <c r="H124" s="2">
        <f t="shared" si="7"/>
        <v>0</v>
      </c>
      <c r="I124">
        <f t="shared" si="8"/>
        <v>0</v>
      </c>
      <c r="J124">
        <f t="shared" si="9"/>
        <v>1</v>
      </c>
      <c r="K124">
        <f t="shared" si="10"/>
        <v>0</v>
      </c>
      <c r="L124" s="13">
        <f>Sheet1!$B$17+(Sheet1!$B$18*tips!F124)+(Sheet1!$B$19*tips!G124)+(Sheet1!$B$20*tips!H124)+(Sheet1!$B$21*tips!I124)+(Sheet1!$B$22*tips!J124)+(Sheet1!$B$23*tips!K124)</f>
        <v>2.3855802520345315</v>
      </c>
      <c r="M124" s="13">
        <f t="shared" si="11"/>
        <v>-0.1144197479654685</v>
      </c>
      <c r="N124" s="13">
        <f t="shared" si="12"/>
        <v>1.3091878724481332E-2</v>
      </c>
    </row>
    <row r="125" spans="1:14">
      <c r="A125" t="s">
        <v>11</v>
      </c>
      <c r="B125" t="s">
        <v>8</v>
      </c>
      <c r="C125" t="s">
        <v>23</v>
      </c>
      <c r="D125" t="s">
        <v>24</v>
      </c>
      <c r="E125">
        <v>2</v>
      </c>
      <c r="F125">
        <v>2</v>
      </c>
      <c r="G125">
        <v>15.95</v>
      </c>
      <c r="H125" s="2">
        <f t="shared" si="7"/>
        <v>0</v>
      </c>
      <c r="I125">
        <f t="shared" si="8"/>
        <v>0</v>
      </c>
      <c r="J125">
        <f t="shared" si="9"/>
        <v>1</v>
      </c>
      <c r="K125">
        <f t="shared" si="10"/>
        <v>0</v>
      </c>
      <c r="L125" s="13">
        <f>Sheet1!$B$17+(Sheet1!$B$18*tips!F125)+(Sheet1!$B$19*tips!G125)+(Sheet1!$B$20*tips!H125)+(Sheet1!$B$21*tips!I125)+(Sheet1!$B$22*tips!J125)+(Sheet1!$B$23*tips!K125)</f>
        <v>2.5448855984811098</v>
      </c>
      <c r="M125" s="13">
        <f t="shared" si="11"/>
        <v>0.54488559848110985</v>
      </c>
      <c r="N125" s="13">
        <f t="shared" si="12"/>
        <v>0.29690031543211726</v>
      </c>
    </row>
    <row r="126" spans="1:14">
      <c r="A126" t="s">
        <v>7</v>
      </c>
      <c r="B126" t="s">
        <v>8</v>
      </c>
      <c r="C126" t="s">
        <v>23</v>
      </c>
      <c r="D126" t="s">
        <v>24</v>
      </c>
      <c r="E126">
        <v>2.52</v>
      </c>
      <c r="F126">
        <v>2</v>
      </c>
      <c r="G126">
        <v>12.48</v>
      </c>
      <c r="H126" s="2">
        <f t="shared" si="7"/>
        <v>1</v>
      </c>
      <c r="I126">
        <f t="shared" si="8"/>
        <v>0</v>
      </c>
      <c r="J126">
        <f t="shared" si="9"/>
        <v>1</v>
      </c>
      <c r="K126">
        <f t="shared" si="10"/>
        <v>0</v>
      </c>
      <c r="L126" s="13">
        <f>Sheet1!$B$17+(Sheet1!$B$18*tips!F126)+(Sheet1!$B$19*tips!G126)+(Sheet1!$B$20*tips!H126)+(Sheet1!$B$21*tips!I126)+(Sheet1!$B$22*tips!J126)+(Sheet1!$B$23*tips!K126)</f>
        <v>2.2544237036796546</v>
      </c>
      <c r="M126" s="13">
        <f t="shared" si="11"/>
        <v>-0.26557629632034541</v>
      </c>
      <c r="N126" s="13">
        <f t="shared" si="12"/>
        <v>7.0530769167231916E-2</v>
      </c>
    </row>
    <row r="127" spans="1:14">
      <c r="A127" t="s">
        <v>7</v>
      </c>
      <c r="B127" t="s">
        <v>8</v>
      </c>
      <c r="C127" t="s">
        <v>23</v>
      </c>
      <c r="D127" t="s">
        <v>24</v>
      </c>
      <c r="E127">
        <v>4.2</v>
      </c>
      <c r="F127">
        <v>6</v>
      </c>
      <c r="G127">
        <v>29.8</v>
      </c>
      <c r="H127" s="2">
        <f t="shared" si="7"/>
        <v>1</v>
      </c>
      <c r="I127">
        <f t="shared" si="8"/>
        <v>0</v>
      </c>
      <c r="J127">
        <f t="shared" si="9"/>
        <v>1</v>
      </c>
      <c r="K127">
        <f t="shared" si="10"/>
        <v>0</v>
      </c>
      <c r="L127" s="13">
        <f>Sheet1!$B$17+(Sheet1!$B$18*tips!F127)+(Sheet1!$B$19*tips!G127)+(Sheet1!$B$20*tips!H127)+(Sheet1!$B$21*tips!I127)+(Sheet1!$B$22*tips!J127)+(Sheet1!$B$23*tips!K127)</f>
        <v>4.5869253281485971</v>
      </c>
      <c r="M127" s="13">
        <f t="shared" si="11"/>
        <v>0.38692532814859693</v>
      </c>
      <c r="N127" s="13">
        <f t="shared" si="12"/>
        <v>0.14971120956289941</v>
      </c>
    </row>
    <row r="128" spans="1:14">
      <c r="A128" t="s">
        <v>11</v>
      </c>
      <c r="B128" t="s">
        <v>8</v>
      </c>
      <c r="C128" t="s">
        <v>23</v>
      </c>
      <c r="D128" t="s">
        <v>24</v>
      </c>
      <c r="E128">
        <v>1.48</v>
      </c>
      <c r="F128">
        <v>2</v>
      </c>
      <c r="G128">
        <v>8.52</v>
      </c>
      <c r="H128" s="2">
        <f t="shared" si="7"/>
        <v>0</v>
      </c>
      <c r="I128">
        <f t="shared" si="8"/>
        <v>0</v>
      </c>
      <c r="J128">
        <f t="shared" si="9"/>
        <v>1</v>
      </c>
      <c r="K128">
        <f t="shared" si="10"/>
        <v>0</v>
      </c>
      <c r="L128" s="13">
        <f>Sheet1!$B$17+(Sheet1!$B$18*tips!F128)+(Sheet1!$B$19*tips!G128)+(Sheet1!$B$20*tips!H128)+(Sheet1!$B$21*tips!I128)+(Sheet1!$B$22*tips!J128)+(Sheet1!$B$23*tips!K128)</f>
        <v>1.8445076552278097</v>
      </c>
      <c r="M128" s="13">
        <f t="shared" si="11"/>
        <v>0.3645076552278097</v>
      </c>
      <c r="N128" s="13">
        <f t="shared" si="12"/>
        <v>0.13286583071967578</v>
      </c>
    </row>
    <row r="129" spans="1:14">
      <c r="A129" t="s">
        <v>7</v>
      </c>
      <c r="B129" t="s">
        <v>8</v>
      </c>
      <c r="C129" t="s">
        <v>23</v>
      </c>
      <c r="D129" t="s">
        <v>24</v>
      </c>
      <c r="E129">
        <v>2</v>
      </c>
      <c r="F129">
        <v>2</v>
      </c>
      <c r="G129">
        <v>14.52</v>
      </c>
      <c r="H129" s="2">
        <f t="shared" si="7"/>
        <v>1</v>
      </c>
      <c r="I129">
        <f t="shared" si="8"/>
        <v>0</v>
      </c>
      <c r="J129">
        <f t="shared" si="9"/>
        <v>1</v>
      </c>
      <c r="K129">
        <f t="shared" si="10"/>
        <v>0</v>
      </c>
      <c r="L129" s="13">
        <f>Sheet1!$B$17+(Sheet1!$B$18*tips!F129)+(Sheet1!$B$19*tips!G129)+(Sheet1!$B$20*tips!H129)+(Sheet1!$B$21*tips!I129)+(Sheet1!$B$22*tips!J129)+(Sheet1!$B$23*tips!K129)</f>
        <v>2.4467212816388382</v>
      </c>
      <c r="M129" s="13">
        <f t="shared" si="11"/>
        <v>0.44672128163883817</v>
      </c>
      <c r="N129" s="13">
        <f t="shared" si="12"/>
        <v>0.19955990346904617</v>
      </c>
    </row>
    <row r="130" spans="1:14">
      <c r="A130" t="s">
        <v>7</v>
      </c>
      <c r="B130" t="s">
        <v>8</v>
      </c>
      <c r="C130" t="s">
        <v>23</v>
      </c>
      <c r="D130" t="s">
        <v>24</v>
      </c>
      <c r="E130">
        <v>2</v>
      </c>
      <c r="F130">
        <v>2</v>
      </c>
      <c r="G130">
        <v>11.38</v>
      </c>
      <c r="H130" s="2">
        <f t="shared" si="7"/>
        <v>1</v>
      </c>
      <c r="I130">
        <f t="shared" si="8"/>
        <v>0</v>
      </c>
      <c r="J130">
        <f t="shared" si="9"/>
        <v>1</v>
      </c>
      <c r="K130">
        <f t="shared" si="10"/>
        <v>0</v>
      </c>
      <c r="L130" s="13">
        <f>Sheet1!$B$17+(Sheet1!$B$18*tips!F130)+(Sheet1!$B$19*tips!G130)+(Sheet1!$B$20*tips!H130)+(Sheet1!$B$21*tips!I130)+(Sheet1!$B$22*tips!J130)+(Sheet1!$B$23*tips!K130)</f>
        <v>2.1507338332114672</v>
      </c>
      <c r="M130" s="13">
        <f t="shared" si="11"/>
        <v>0.15073383321146716</v>
      </c>
      <c r="N130" s="13">
        <f t="shared" si="12"/>
        <v>2.27206884746224E-2</v>
      </c>
    </row>
    <row r="131" spans="1:14">
      <c r="A131" t="s">
        <v>11</v>
      </c>
      <c r="B131" t="s">
        <v>8</v>
      </c>
      <c r="C131" t="s">
        <v>23</v>
      </c>
      <c r="D131" t="s">
        <v>24</v>
      </c>
      <c r="E131">
        <v>2.1800000000000002</v>
      </c>
      <c r="F131">
        <v>3</v>
      </c>
      <c r="G131">
        <v>22.82</v>
      </c>
      <c r="H131" s="2">
        <f t="shared" ref="H131:H194" si="13">IF(A131="Female",1,0)</f>
        <v>0</v>
      </c>
      <c r="I131">
        <f t="shared" ref="I131:I194" si="14">IF(B131="yes",1,0)</f>
        <v>0</v>
      </c>
      <c r="J131">
        <f t="shared" ref="J131:J194" si="15">IF(C131="Thur", 1, IF(C131="Fri", 2, IF(C131="Sat", 3, 4)))</f>
        <v>1</v>
      </c>
      <c r="K131">
        <f t="shared" ref="K131:K194" si="16">IF(D131="Dinner",1, 0)</f>
        <v>0</v>
      </c>
      <c r="L131" s="13">
        <f>Sheet1!$B$17+(Sheet1!$B$18*tips!F131)+(Sheet1!$B$19*tips!G131)+(Sheet1!$B$20*tips!H131)+(Sheet1!$B$21*tips!I131)+(Sheet1!$B$22*tips!J131)+(Sheet1!$B$23*tips!K131)</f>
        <v>3.3674403418612506</v>
      </c>
      <c r="M131" s="13">
        <f t="shared" ref="M131:M194" si="17">L131-E131</f>
        <v>1.1874403418612505</v>
      </c>
      <c r="N131" s="13">
        <f t="shared" ref="N131:N194" si="18">M131^2</f>
        <v>1.4100145654795633</v>
      </c>
    </row>
    <row r="132" spans="1:14">
      <c r="A132" t="s">
        <v>11</v>
      </c>
      <c r="B132" t="s">
        <v>8</v>
      </c>
      <c r="C132" t="s">
        <v>23</v>
      </c>
      <c r="D132" t="s">
        <v>24</v>
      </c>
      <c r="E132">
        <v>1.5</v>
      </c>
      <c r="F132">
        <v>2</v>
      </c>
      <c r="G132">
        <v>19.079999999999998</v>
      </c>
      <c r="H132" s="2">
        <f t="shared" si="13"/>
        <v>0</v>
      </c>
      <c r="I132">
        <f t="shared" si="14"/>
        <v>0</v>
      </c>
      <c r="J132">
        <f t="shared" si="15"/>
        <v>1</v>
      </c>
      <c r="K132">
        <f t="shared" si="16"/>
        <v>0</v>
      </c>
      <c r="L132" s="13">
        <f>Sheet1!$B$17+(Sheet1!$B$18*tips!F132)+(Sheet1!$B$19*tips!G132)+(Sheet1!$B$20*tips!H132)+(Sheet1!$B$21*tips!I132)+(Sheet1!$B$22*tips!J132)+(Sheet1!$B$23*tips!K132)</f>
        <v>2.8399304117224062</v>
      </c>
      <c r="M132" s="13">
        <f t="shared" si="17"/>
        <v>1.3399304117224062</v>
      </c>
      <c r="N132" s="13">
        <f t="shared" si="18"/>
        <v>1.7954135082585772</v>
      </c>
    </row>
    <row r="133" spans="1:14">
      <c r="A133" t="s">
        <v>7</v>
      </c>
      <c r="B133" t="s">
        <v>8</v>
      </c>
      <c r="C133" t="s">
        <v>23</v>
      </c>
      <c r="D133" t="s">
        <v>24</v>
      </c>
      <c r="E133">
        <v>2.83</v>
      </c>
      <c r="F133">
        <v>2</v>
      </c>
      <c r="G133">
        <v>20.27</v>
      </c>
      <c r="H133" s="2">
        <f t="shared" si="13"/>
        <v>1</v>
      </c>
      <c r="I133">
        <f t="shared" si="14"/>
        <v>0</v>
      </c>
      <c r="J133">
        <f t="shared" si="15"/>
        <v>1</v>
      </c>
      <c r="K133">
        <f t="shared" si="16"/>
        <v>0</v>
      </c>
      <c r="L133" s="13">
        <f>Sheet1!$B$17+(Sheet1!$B$18*tips!F133)+(Sheet1!$B$19*tips!G133)+(Sheet1!$B$20*tips!H133)+(Sheet1!$B$21*tips!I133)+(Sheet1!$B$22*tips!J133)+(Sheet1!$B$23*tips!K133)</f>
        <v>2.9887365136316344</v>
      </c>
      <c r="M133" s="13">
        <f t="shared" si="17"/>
        <v>0.15873651363163432</v>
      </c>
      <c r="N133" s="13">
        <f t="shared" si="18"/>
        <v>2.5197280759926031E-2</v>
      </c>
    </row>
    <row r="134" spans="1:14">
      <c r="A134" t="s">
        <v>7</v>
      </c>
      <c r="B134" t="s">
        <v>8</v>
      </c>
      <c r="C134" t="s">
        <v>23</v>
      </c>
      <c r="D134" t="s">
        <v>24</v>
      </c>
      <c r="E134">
        <v>1.5</v>
      </c>
      <c r="F134">
        <v>2</v>
      </c>
      <c r="G134">
        <v>11.17</v>
      </c>
      <c r="H134" s="2">
        <f t="shared" si="13"/>
        <v>1</v>
      </c>
      <c r="I134">
        <f t="shared" si="14"/>
        <v>0</v>
      </c>
      <c r="J134">
        <f t="shared" si="15"/>
        <v>1</v>
      </c>
      <c r="K134">
        <f t="shared" si="16"/>
        <v>0</v>
      </c>
      <c r="L134" s="13">
        <f>Sheet1!$B$17+(Sheet1!$B$18*tips!F134)+(Sheet1!$B$19*tips!G134)+(Sheet1!$B$20*tips!H134)+(Sheet1!$B$21*tips!I134)+(Sheet1!$B$22*tips!J134)+(Sheet1!$B$23*tips!K134)</f>
        <v>2.1309384943039045</v>
      </c>
      <c r="M134" s="13">
        <f t="shared" si="17"/>
        <v>0.63093849430390447</v>
      </c>
      <c r="N134" s="13">
        <f t="shared" si="18"/>
        <v>0.39808338359447809</v>
      </c>
    </row>
    <row r="135" spans="1:14">
      <c r="A135" t="s">
        <v>7</v>
      </c>
      <c r="B135" t="s">
        <v>8</v>
      </c>
      <c r="C135" t="s">
        <v>23</v>
      </c>
      <c r="D135" t="s">
        <v>24</v>
      </c>
      <c r="E135">
        <v>2</v>
      </c>
      <c r="F135">
        <v>2</v>
      </c>
      <c r="G135">
        <v>12.26</v>
      </c>
      <c r="H135" s="2">
        <f t="shared" si="13"/>
        <v>1</v>
      </c>
      <c r="I135">
        <f t="shared" si="14"/>
        <v>0</v>
      </c>
      <c r="J135">
        <f t="shared" si="15"/>
        <v>1</v>
      </c>
      <c r="K135">
        <f t="shared" si="16"/>
        <v>0</v>
      </c>
      <c r="L135" s="13">
        <f>Sheet1!$B$17+(Sheet1!$B$18*tips!F135)+(Sheet1!$B$19*tips!G135)+(Sheet1!$B$20*tips!H135)+(Sheet1!$B$21*tips!I135)+(Sheet1!$B$22*tips!J135)+(Sheet1!$B$23*tips!K135)</f>
        <v>2.2336857295860173</v>
      </c>
      <c r="M135" s="13">
        <f t="shared" si="17"/>
        <v>0.2336857295860173</v>
      </c>
      <c r="N135" s="13">
        <f t="shared" si="18"/>
        <v>5.4609020212149202E-2</v>
      </c>
    </row>
    <row r="136" spans="1:14">
      <c r="A136" t="s">
        <v>7</v>
      </c>
      <c r="B136" t="s">
        <v>8</v>
      </c>
      <c r="C136" t="s">
        <v>23</v>
      </c>
      <c r="D136" t="s">
        <v>24</v>
      </c>
      <c r="E136">
        <v>3.25</v>
      </c>
      <c r="F136">
        <v>2</v>
      </c>
      <c r="G136">
        <v>18.260000000000002</v>
      </c>
      <c r="H136" s="2">
        <f t="shared" si="13"/>
        <v>1</v>
      </c>
      <c r="I136">
        <f t="shared" si="14"/>
        <v>0</v>
      </c>
      <c r="J136">
        <f t="shared" si="15"/>
        <v>1</v>
      </c>
      <c r="K136">
        <f t="shared" si="16"/>
        <v>0</v>
      </c>
      <c r="L136" s="13">
        <f>Sheet1!$B$17+(Sheet1!$B$18*tips!F136)+(Sheet1!$B$19*tips!G136)+(Sheet1!$B$20*tips!H136)+(Sheet1!$B$21*tips!I136)+(Sheet1!$B$22*tips!J136)+(Sheet1!$B$23*tips!K136)</f>
        <v>2.7992668412306743</v>
      </c>
      <c r="M136" s="13">
        <f t="shared" si="17"/>
        <v>-0.45073315876932574</v>
      </c>
      <c r="N136" s="13">
        <f t="shared" si="18"/>
        <v>0.2031603804141742</v>
      </c>
    </row>
    <row r="137" spans="1:14">
      <c r="A137" t="s">
        <v>7</v>
      </c>
      <c r="B137" t="s">
        <v>8</v>
      </c>
      <c r="C137" t="s">
        <v>23</v>
      </c>
      <c r="D137" t="s">
        <v>24</v>
      </c>
      <c r="E137">
        <v>1.25</v>
      </c>
      <c r="F137">
        <v>2</v>
      </c>
      <c r="G137">
        <v>8.51</v>
      </c>
      <c r="H137" s="2">
        <f t="shared" si="13"/>
        <v>1</v>
      </c>
      <c r="I137">
        <f t="shared" si="14"/>
        <v>0</v>
      </c>
      <c r="J137">
        <f t="shared" si="15"/>
        <v>1</v>
      </c>
      <c r="K137">
        <f t="shared" si="16"/>
        <v>0</v>
      </c>
      <c r="L137" s="13">
        <f>Sheet1!$B$17+(Sheet1!$B$18*tips!F137)+(Sheet1!$B$19*tips!G137)+(Sheet1!$B$20*tips!H137)+(Sheet1!$B$21*tips!I137)+(Sheet1!$B$22*tips!J137)+(Sheet1!$B$23*tips!K137)</f>
        <v>1.8801975348081064</v>
      </c>
      <c r="M137" s="13">
        <f t="shared" si="17"/>
        <v>0.63019753480810636</v>
      </c>
      <c r="N137" s="13">
        <f t="shared" si="18"/>
        <v>0.39714893287821446</v>
      </c>
    </row>
    <row r="138" spans="1:14">
      <c r="A138" t="s">
        <v>7</v>
      </c>
      <c r="B138" t="s">
        <v>8</v>
      </c>
      <c r="C138" t="s">
        <v>23</v>
      </c>
      <c r="D138" t="s">
        <v>24</v>
      </c>
      <c r="E138">
        <v>2</v>
      </c>
      <c r="F138">
        <v>2</v>
      </c>
      <c r="G138">
        <v>10.33</v>
      </c>
      <c r="H138" s="2">
        <f t="shared" si="13"/>
        <v>1</v>
      </c>
      <c r="I138">
        <f t="shared" si="14"/>
        <v>0</v>
      </c>
      <c r="J138">
        <f t="shared" si="15"/>
        <v>1</v>
      </c>
      <c r="K138">
        <f t="shared" si="16"/>
        <v>0</v>
      </c>
      <c r="L138" s="13">
        <f>Sheet1!$B$17+(Sheet1!$B$18*tips!F138)+(Sheet1!$B$19*tips!G138)+(Sheet1!$B$20*tips!H138)+(Sheet1!$B$21*tips!I138)+(Sheet1!$B$22*tips!J138)+(Sheet1!$B$23*tips!K138)</f>
        <v>2.0517571386736524</v>
      </c>
      <c r="M138" s="13">
        <f t="shared" si="17"/>
        <v>5.1757138673652392E-2</v>
      </c>
      <c r="N138" s="13">
        <f t="shared" si="18"/>
        <v>2.6788014036836839E-3</v>
      </c>
    </row>
    <row r="139" spans="1:14">
      <c r="A139" t="s">
        <v>7</v>
      </c>
      <c r="B139" t="s">
        <v>8</v>
      </c>
      <c r="C139" t="s">
        <v>23</v>
      </c>
      <c r="D139" t="s">
        <v>24</v>
      </c>
      <c r="E139">
        <v>2</v>
      </c>
      <c r="F139">
        <v>2</v>
      </c>
      <c r="G139">
        <v>14.15</v>
      </c>
      <c r="H139" s="2">
        <f t="shared" si="13"/>
        <v>1</v>
      </c>
      <c r="I139">
        <f t="shared" si="14"/>
        <v>0</v>
      </c>
      <c r="J139">
        <f t="shared" si="15"/>
        <v>1</v>
      </c>
      <c r="K139">
        <f t="shared" si="16"/>
        <v>0</v>
      </c>
      <c r="L139" s="13">
        <f>Sheet1!$B$17+(Sheet1!$B$18*tips!F139)+(Sheet1!$B$19*tips!G139)+(Sheet1!$B$20*tips!H139)+(Sheet1!$B$21*tips!I139)+(Sheet1!$B$22*tips!J139)+(Sheet1!$B$23*tips!K139)</f>
        <v>2.4118437797540841</v>
      </c>
      <c r="M139" s="13">
        <f t="shared" si="17"/>
        <v>0.41184377975408415</v>
      </c>
      <c r="N139" s="13">
        <f t="shared" si="18"/>
        <v>0.16961529892213056</v>
      </c>
    </row>
    <row r="140" spans="1:14">
      <c r="A140" t="s">
        <v>11</v>
      </c>
      <c r="B140" t="s">
        <v>22</v>
      </c>
      <c r="C140" t="s">
        <v>23</v>
      </c>
      <c r="D140" t="s">
        <v>24</v>
      </c>
      <c r="E140">
        <v>2</v>
      </c>
      <c r="F140">
        <v>2</v>
      </c>
      <c r="G140">
        <v>16</v>
      </c>
      <c r="H140" s="2">
        <f t="shared" si="13"/>
        <v>0</v>
      </c>
      <c r="I140">
        <f t="shared" si="14"/>
        <v>1</v>
      </c>
      <c r="J140">
        <f t="shared" si="15"/>
        <v>1</v>
      </c>
      <c r="K140">
        <f t="shared" si="16"/>
        <v>0</v>
      </c>
      <c r="L140" s="13">
        <f>Sheet1!$B$17+(Sheet1!$B$18*tips!F140)+(Sheet1!$B$19*tips!G140)+(Sheet1!$B$20*tips!H140)+(Sheet1!$B$21*tips!I140)+(Sheet1!$B$22*tips!J140)+(Sheet1!$B$23*tips!K140)</f>
        <v>2.476754443621549</v>
      </c>
      <c r="M140" s="13">
        <f t="shared" si="17"/>
        <v>0.47675444362154895</v>
      </c>
      <c r="N140" s="13">
        <f t="shared" si="18"/>
        <v>0.22729479951289269</v>
      </c>
    </row>
    <row r="141" spans="1:14">
      <c r="A141" t="s">
        <v>7</v>
      </c>
      <c r="B141" t="s">
        <v>8</v>
      </c>
      <c r="C141" t="s">
        <v>23</v>
      </c>
      <c r="D141" t="s">
        <v>24</v>
      </c>
      <c r="E141">
        <v>2.75</v>
      </c>
      <c r="F141">
        <v>2</v>
      </c>
      <c r="G141">
        <v>13.16</v>
      </c>
      <c r="H141" s="2">
        <f t="shared" si="13"/>
        <v>1</v>
      </c>
      <c r="I141">
        <f t="shared" si="14"/>
        <v>0</v>
      </c>
      <c r="J141">
        <f t="shared" si="15"/>
        <v>1</v>
      </c>
      <c r="K141">
        <f t="shared" si="16"/>
        <v>0</v>
      </c>
      <c r="L141" s="13">
        <f>Sheet1!$B$17+(Sheet1!$B$18*tips!F141)+(Sheet1!$B$19*tips!G141)+(Sheet1!$B$20*tips!H141)+(Sheet1!$B$21*tips!I141)+(Sheet1!$B$22*tips!J141)+(Sheet1!$B$23*tips!K141)</f>
        <v>2.3185228963327158</v>
      </c>
      <c r="M141" s="13">
        <f t="shared" si="17"/>
        <v>-0.4314771036672842</v>
      </c>
      <c r="N141" s="13">
        <f t="shared" si="18"/>
        <v>0.18617249098910832</v>
      </c>
    </row>
    <row r="142" spans="1:14">
      <c r="A142" t="s">
        <v>7</v>
      </c>
      <c r="B142" t="s">
        <v>8</v>
      </c>
      <c r="C142" t="s">
        <v>23</v>
      </c>
      <c r="D142" t="s">
        <v>24</v>
      </c>
      <c r="E142">
        <v>3.5</v>
      </c>
      <c r="F142">
        <v>2</v>
      </c>
      <c r="G142">
        <v>17.47</v>
      </c>
      <c r="H142" s="2">
        <f t="shared" si="13"/>
        <v>1</v>
      </c>
      <c r="I142">
        <f t="shared" si="14"/>
        <v>0</v>
      </c>
      <c r="J142">
        <f t="shared" si="15"/>
        <v>1</v>
      </c>
      <c r="K142">
        <f t="shared" si="16"/>
        <v>0</v>
      </c>
      <c r="L142" s="13">
        <f>Sheet1!$B$17+(Sheet1!$B$18*tips!F142)+(Sheet1!$B$19*tips!G142)+(Sheet1!$B$20*tips!H142)+(Sheet1!$B$21*tips!I142)+(Sheet1!$B$22*tips!J142)+(Sheet1!$B$23*tips!K142)</f>
        <v>2.7247986615307944</v>
      </c>
      <c r="M142" s="13">
        <f t="shared" si="17"/>
        <v>-0.77520133846920558</v>
      </c>
      <c r="N142" s="13">
        <f t="shared" si="18"/>
        <v>0.60093711516444781</v>
      </c>
    </row>
    <row r="143" spans="1:14">
      <c r="A143" t="s">
        <v>11</v>
      </c>
      <c r="B143" t="s">
        <v>8</v>
      </c>
      <c r="C143" t="s">
        <v>23</v>
      </c>
      <c r="D143" t="s">
        <v>24</v>
      </c>
      <c r="E143">
        <v>6.7</v>
      </c>
      <c r="F143">
        <v>6</v>
      </c>
      <c r="G143">
        <v>34.299999999999997</v>
      </c>
      <c r="H143" s="2">
        <f t="shared" si="13"/>
        <v>0</v>
      </c>
      <c r="I143">
        <f t="shared" si="14"/>
        <v>0</v>
      </c>
      <c r="J143">
        <f t="shared" si="15"/>
        <v>1</v>
      </c>
      <c r="K143">
        <f t="shared" si="16"/>
        <v>0</v>
      </c>
      <c r="L143" s="13">
        <f>Sheet1!$B$17+(Sheet1!$B$18*tips!F143)+(Sheet1!$B$19*tips!G143)+(Sheet1!$B$20*tips!H143)+(Sheet1!$B$21*tips!I143)+(Sheet1!$B$22*tips!J143)+(Sheet1!$B$23*tips!K143)</f>
        <v>4.9744786471157187</v>
      </c>
      <c r="M143" s="13">
        <f t="shared" si="17"/>
        <v>-1.7255213528842814</v>
      </c>
      <c r="N143" s="13">
        <f t="shared" si="18"/>
        <v>2.9774239392596007</v>
      </c>
    </row>
    <row r="144" spans="1:14">
      <c r="A144" t="s">
        <v>11</v>
      </c>
      <c r="B144" t="s">
        <v>8</v>
      </c>
      <c r="C144" t="s">
        <v>23</v>
      </c>
      <c r="D144" t="s">
        <v>24</v>
      </c>
      <c r="E144">
        <v>5</v>
      </c>
      <c r="F144">
        <v>5</v>
      </c>
      <c r="G144">
        <v>41.19</v>
      </c>
      <c r="H144" s="2">
        <f t="shared" si="13"/>
        <v>0</v>
      </c>
      <c r="I144">
        <f t="shared" si="14"/>
        <v>0</v>
      </c>
      <c r="J144">
        <f t="shared" si="15"/>
        <v>1</v>
      </c>
      <c r="K144">
        <f t="shared" si="16"/>
        <v>0</v>
      </c>
      <c r="L144" s="13">
        <f>Sheet1!$B$17+(Sheet1!$B$18*tips!F144)+(Sheet1!$B$19*tips!G144)+(Sheet1!$B$20*tips!H144)+(Sheet1!$B$21*tips!I144)+(Sheet1!$B$22*tips!J144)+(Sheet1!$B$23*tips!K144)</f>
        <v>5.4489899197739922</v>
      </c>
      <c r="M144" s="13">
        <f t="shared" si="17"/>
        <v>0.44898991977399216</v>
      </c>
      <c r="N144" s="13">
        <f t="shared" si="18"/>
        <v>0.20159194805865591</v>
      </c>
    </row>
    <row r="145" spans="1:14">
      <c r="A145" t="s">
        <v>7</v>
      </c>
      <c r="B145" t="s">
        <v>8</v>
      </c>
      <c r="C145" t="s">
        <v>23</v>
      </c>
      <c r="D145" t="s">
        <v>24</v>
      </c>
      <c r="E145">
        <v>5</v>
      </c>
      <c r="F145">
        <v>6</v>
      </c>
      <c r="G145">
        <v>27.05</v>
      </c>
      <c r="H145" s="2">
        <f t="shared" si="13"/>
        <v>1</v>
      </c>
      <c r="I145">
        <f t="shared" si="14"/>
        <v>0</v>
      </c>
      <c r="J145">
        <f t="shared" si="15"/>
        <v>1</v>
      </c>
      <c r="K145">
        <f t="shared" si="16"/>
        <v>0</v>
      </c>
      <c r="L145" s="13">
        <f>Sheet1!$B$17+(Sheet1!$B$18*tips!F145)+(Sheet1!$B$19*tips!G145)+(Sheet1!$B$20*tips!H145)+(Sheet1!$B$21*tips!I145)+(Sheet1!$B$22*tips!J145)+(Sheet1!$B$23*tips!K145)</f>
        <v>4.3277006519781294</v>
      </c>
      <c r="M145" s="13">
        <f t="shared" si="17"/>
        <v>-0.67229934802187064</v>
      </c>
      <c r="N145" s="13">
        <f t="shared" si="18"/>
        <v>0.45198641335063233</v>
      </c>
    </row>
    <row r="146" spans="1:14">
      <c r="A146" t="s">
        <v>7</v>
      </c>
      <c r="B146" t="s">
        <v>8</v>
      </c>
      <c r="C146" t="s">
        <v>23</v>
      </c>
      <c r="D146" t="s">
        <v>24</v>
      </c>
      <c r="E146">
        <v>2.2999999999999998</v>
      </c>
      <c r="F146">
        <v>2</v>
      </c>
      <c r="G146">
        <v>16.43</v>
      </c>
      <c r="H146" s="2">
        <f t="shared" si="13"/>
        <v>1</v>
      </c>
      <c r="I146">
        <f t="shared" si="14"/>
        <v>0</v>
      </c>
      <c r="J146">
        <f t="shared" si="15"/>
        <v>1</v>
      </c>
      <c r="K146">
        <f t="shared" si="16"/>
        <v>0</v>
      </c>
      <c r="L146" s="13">
        <f>Sheet1!$B$17+(Sheet1!$B$18*tips!F146)+(Sheet1!$B$19*tips!G146)+(Sheet1!$B$20*tips!H146)+(Sheet1!$B$21*tips!I146)+(Sheet1!$B$22*tips!J146)+(Sheet1!$B$23*tips!K146)</f>
        <v>2.6267646021790538</v>
      </c>
      <c r="M146" s="13">
        <f t="shared" si="17"/>
        <v>0.32676460217905401</v>
      </c>
      <c r="N146" s="13">
        <f t="shared" si="18"/>
        <v>0.10677510523723543</v>
      </c>
    </row>
    <row r="147" spans="1:14">
      <c r="A147" t="s">
        <v>7</v>
      </c>
      <c r="B147" t="s">
        <v>8</v>
      </c>
      <c r="C147" t="s">
        <v>23</v>
      </c>
      <c r="D147" t="s">
        <v>24</v>
      </c>
      <c r="E147">
        <v>1.5</v>
      </c>
      <c r="F147">
        <v>2</v>
      </c>
      <c r="G147">
        <v>8.35</v>
      </c>
      <c r="H147" s="2">
        <f t="shared" si="13"/>
        <v>1</v>
      </c>
      <c r="I147">
        <f t="shared" si="14"/>
        <v>0</v>
      </c>
      <c r="J147">
        <f t="shared" si="15"/>
        <v>1</v>
      </c>
      <c r="K147">
        <f t="shared" si="16"/>
        <v>0</v>
      </c>
      <c r="L147" s="13">
        <f>Sheet1!$B$17+(Sheet1!$B$18*tips!F147)+(Sheet1!$B$19*tips!G147)+(Sheet1!$B$20*tips!H147)+(Sheet1!$B$21*tips!I147)+(Sheet1!$B$22*tips!J147)+(Sheet1!$B$23*tips!K147)</f>
        <v>1.8651153718309155</v>
      </c>
      <c r="M147" s="13">
        <f t="shared" si="17"/>
        <v>0.36511537183091547</v>
      </c>
      <c r="N147" s="13">
        <f t="shared" si="18"/>
        <v>0.13330923474722767</v>
      </c>
    </row>
    <row r="148" spans="1:14">
      <c r="A148" t="s">
        <v>7</v>
      </c>
      <c r="B148" t="s">
        <v>8</v>
      </c>
      <c r="C148" t="s">
        <v>23</v>
      </c>
      <c r="D148" t="s">
        <v>24</v>
      </c>
      <c r="E148">
        <v>1.36</v>
      </c>
      <c r="F148">
        <v>3</v>
      </c>
      <c r="G148">
        <v>18.64</v>
      </c>
      <c r="H148" s="2">
        <f t="shared" si="13"/>
        <v>1</v>
      </c>
      <c r="I148">
        <f t="shared" si="14"/>
        <v>0</v>
      </c>
      <c r="J148">
        <f t="shared" si="15"/>
        <v>1</v>
      </c>
      <c r="K148">
        <f t="shared" si="16"/>
        <v>0</v>
      </c>
      <c r="L148" s="13">
        <f>Sheet1!$B$17+(Sheet1!$B$18*tips!F148)+(Sheet1!$B$19*tips!G148)+(Sheet1!$B$20*tips!H148)+(Sheet1!$B$21*tips!I148)+(Sheet1!$B$22*tips!J148)+(Sheet1!$B$23*tips!K148)</f>
        <v>3.0100513488485108</v>
      </c>
      <c r="M148" s="13">
        <f t="shared" si="17"/>
        <v>1.6500513488485107</v>
      </c>
      <c r="N148" s="13">
        <f t="shared" si="18"/>
        <v>2.7226694538367893</v>
      </c>
    </row>
    <row r="149" spans="1:14">
      <c r="A149" t="s">
        <v>7</v>
      </c>
      <c r="B149" t="s">
        <v>8</v>
      </c>
      <c r="C149" t="s">
        <v>23</v>
      </c>
      <c r="D149" t="s">
        <v>24</v>
      </c>
      <c r="E149">
        <v>1.63</v>
      </c>
      <c r="F149">
        <v>2</v>
      </c>
      <c r="G149">
        <v>11.87</v>
      </c>
      <c r="H149" s="2">
        <f t="shared" si="13"/>
        <v>1</v>
      </c>
      <c r="I149">
        <f t="shared" si="14"/>
        <v>0</v>
      </c>
      <c r="J149">
        <f t="shared" si="15"/>
        <v>1</v>
      </c>
      <c r="K149">
        <f t="shared" si="16"/>
        <v>0</v>
      </c>
      <c r="L149" s="13">
        <f>Sheet1!$B$17+(Sheet1!$B$18*tips!F149)+(Sheet1!$B$19*tips!G149)+(Sheet1!$B$20*tips!H149)+(Sheet1!$B$21*tips!I149)+(Sheet1!$B$22*tips!J149)+(Sheet1!$B$23*tips!K149)</f>
        <v>2.196922957329114</v>
      </c>
      <c r="M149" s="13">
        <f t="shared" si="17"/>
        <v>0.56692295732911413</v>
      </c>
      <c r="N149" s="13">
        <f t="shared" si="18"/>
        <v>0.32140163954678858</v>
      </c>
    </row>
    <row r="150" spans="1:14">
      <c r="A150" t="s">
        <v>11</v>
      </c>
      <c r="B150" t="s">
        <v>8</v>
      </c>
      <c r="C150" t="s">
        <v>23</v>
      </c>
      <c r="D150" t="s">
        <v>24</v>
      </c>
      <c r="E150">
        <v>1.73</v>
      </c>
      <c r="F150">
        <v>2</v>
      </c>
      <c r="G150">
        <v>9.7799999999999994</v>
      </c>
      <c r="H150" s="2">
        <f t="shared" si="13"/>
        <v>0</v>
      </c>
      <c r="I150">
        <f t="shared" si="14"/>
        <v>0</v>
      </c>
      <c r="J150">
        <f t="shared" si="15"/>
        <v>1</v>
      </c>
      <c r="K150">
        <f t="shared" si="16"/>
        <v>0</v>
      </c>
      <c r="L150" s="13">
        <f>Sheet1!$B$17+(Sheet1!$B$18*tips!F150)+(Sheet1!$B$19*tips!G150)+(Sheet1!$B$20*tips!H150)+(Sheet1!$B$21*tips!I150)+(Sheet1!$B$22*tips!J150)+(Sheet1!$B$23*tips!K150)</f>
        <v>1.9632796886731876</v>
      </c>
      <c r="M150" s="13">
        <f t="shared" si="17"/>
        <v>0.2332796886731876</v>
      </c>
      <c r="N150" s="13">
        <f t="shared" si="18"/>
        <v>5.4419413147459329E-2</v>
      </c>
    </row>
    <row r="151" spans="1:14">
      <c r="A151" t="s">
        <v>11</v>
      </c>
      <c r="B151" t="s">
        <v>8</v>
      </c>
      <c r="C151" t="s">
        <v>23</v>
      </c>
      <c r="D151" t="s">
        <v>24</v>
      </c>
      <c r="E151">
        <v>2</v>
      </c>
      <c r="F151">
        <v>2</v>
      </c>
      <c r="G151">
        <v>7.51</v>
      </c>
      <c r="H151" s="2">
        <f t="shared" si="13"/>
        <v>0</v>
      </c>
      <c r="I151">
        <f t="shared" si="14"/>
        <v>0</v>
      </c>
      <c r="J151">
        <f t="shared" si="15"/>
        <v>1</v>
      </c>
      <c r="K151">
        <f t="shared" si="16"/>
        <v>0</v>
      </c>
      <c r="L151" s="13">
        <f>Sheet1!$B$17+(Sheet1!$B$18*tips!F151)+(Sheet1!$B$19*tips!G151)+(Sheet1!$B$20*tips!H151)+(Sheet1!$B$21*tips!I151)+(Sheet1!$B$22*tips!J151)+(Sheet1!$B$23*tips!K151)</f>
        <v>1.7493015014342921</v>
      </c>
      <c r="M151" s="13">
        <f t="shared" si="17"/>
        <v>-0.25069849856570792</v>
      </c>
      <c r="N151" s="13">
        <f t="shared" si="18"/>
        <v>6.284973718310026E-2</v>
      </c>
    </row>
    <row r="152" spans="1:14">
      <c r="A152" t="s">
        <v>11</v>
      </c>
      <c r="B152" t="s">
        <v>8</v>
      </c>
      <c r="C152" t="s">
        <v>9</v>
      </c>
      <c r="D152" t="s">
        <v>10</v>
      </c>
      <c r="E152">
        <v>2.5</v>
      </c>
      <c r="F152">
        <v>2</v>
      </c>
      <c r="G152">
        <v>14.07</v>
      </c>
      <c r="H152" s="2">
        <f t="shared" si="13"/>
        <v>0</v>
      </c>
      <c r="I152">
        <f t="shared" si="14"/>
        <v>0</v>
      </c>
      <c r="J152">
        <f t="shared" si="15"/>
        <v>4</v>
      </c>
      <c r="K152">
        <f t="shared" si="16"/>
        <v>1</v>
      </c>
      <c r="L152" s="13">
        <f>Sheet1!$B$17+(Sheet1!$B$18*tips!F152)+(Sheet1!$B$19*tips!G152)+(Sheet1!$B$20*tips!H152)+(Sheet1!$B$21*tips!I152)+(Sheet1!$B$22*tips!J152)+(Sheet1!$B$23*tips!K152)</f>
        <v>2.4106798367269349</v>
      </c>
      <c r="M152" s="13">
        <f t="shared" si="17"/>
        <v>-8.9320163273065134E-2</v>
      </c>
      <c r="N152" s="13">
        <f t="shared" si="18"/>
        <v>7.9780915671270134E-3</v>
      </c>
    </row>
    <row r="153" spans="1:14">
      <c r="A153" t="s">
        <v>11</v>
      </c>
      <c r="B153" t="s">
        <v>8</v>
      </c>
      <c r="C153" t="s">
        <v>9</v>
      </c>
      <c r="D153" t="s">
        <v>10</v>
      </c>
      <c r="E153">
        <v>2</v>
      </c>
      <c r="F153">
        <v>2</v>
      </c>
      <c r="G153">
        <v>13.13</v>
      </c>
      <c r="H153" s="2">
        <f t="shared" si="13"/>
        <v>0</v>
      </c>
      <c r="I153">
        <f t="shared" si="14"/>
        <v>0</v>
      </c>
      <c r="J153">
        <f t="shared" si="15"/>
        <v>4</v>
      </c>
      <c r="K153">
        <f t="shared" si="16"/>
        <v>1</v>
      </c>
      <c r="L153" s="13">
        <f>Sheet1!$B$17+(Sheet1!$B$18*tips!F153)+(Sheet1!$B$19*tips!G153)+(Sheet1!$B$20*tips!H153)+(Sheet1!$B$21*tips!I153)+(Sheet1!$B$22*tips!J153)+(Sheet1!$B$23*tips!K153)</f>
        <v>2.3220721292359383</v>
      </c>
      <c r="M153" s="13">
        <f t="shared" si="17"/>
        <v>0.32207212923593831</v>
      </c>
      <c r="N153" s="13">
        <f t="shared" si="18"/>
        <v>0.10373045643057095</v>
      </c>
    </row>
    <row r="154" spans="1:14">
      <c r="A154" t="s">
        <v>11</v>
      </c>
      <c r="B154" t="s">
        <v>8</v>
      </c>
      <c r="C154" t="s">
        <v>9</v>
      </c>
      <c r="D154" t="s">
        <v>10</v>
      </c>
      <c r="E154">
        <v>2.74</v>
      </c>
      <c r="F154">
        <v>3</v>
      </c>
      <c r="G154">
        <v>17.260000000000002</v>
      </c>
      <c r="H154" s="2">
        <f t="shared" si="13"/>
        <v>0</v>
      </c>
      <c r="I154">
        <f t="shared" si="14"/>
        <v>0</v>
      </c>
      <c r="J154">
        <f t="shared" si="15"/>
        <v>4</v>
      </c>
      <c r="K154">
        <f t="shared" si="16"/>
        <v>1</v>
      </c>
      <c r="L154" s="13">
        <f>Sheet1!$B$17+(Sheet1!$B$18*tips!F154)+(Sheet1!$B$19*tips!G154)+(Sheet1!$B$20*tips!H154)+(Sheet1!$B$21*tips!I154)+(Sheet1!$B$22*tips!J154)+(Sheet1!$B$23*tips!K154)</f>
        <v>2.8863448316316855</v>
      </c>
      <c r="M154" s="13">
        <f t="shared" si="17"/>
        <v>0.14634483163168532</v>
      </c>
      <c r="N154" s="13">
        <f t="shared" si="18"/>
        <v>2.1416809745306326E-2</v>
      </c>
    </row>
    <row r="155" spans="1:14">
      <c r="A155" t="s">
        <v>11</v>
      </c>
      <c r="B155" t="s">
        <v>8</v>
      </c>
      <c r="C155" t="s">
        <v>9</v>
      </c>
      <c r="D155" t="s">
        <v>10</v>
      </c>
      <c r="E155">
        <v>2</v>
      </c>
      <c r="F155">
        <v>4</v>
      </c>
      <c r="G155">
        <v>24.55</v>
      </c>
      <c r="H155" s="2">
        <f t="shared" si="13"/>
        <v>0</v>
      </c>
      <c r="I155">
        <f t="shared" si="14"/>
        <v>0</v>
      </c>
      <c r="J155">
        <f t="shared" si="15"/>
        <v>4</v>
      </c>
      <c r="K155">
        <f t="shared" si="16"/>
        <v>1</v>
      </c>
      <c r="L155" s="13">
        <f>Sheet1!$B$17+(Sheet1!$B$18*tips!F155)+(Sheet1!$B$19*tips!G155)+(Sheet1!$B$20*tips!H155)+(Sheet1!$B$21*tips!I155)+(Sheet1!$B$22*tips!J155)+(Sheet1!$B$23*tips!K155)</f>
        <v>3.7484902528269526</v>
      </c>
      <c r="M155" s="13">
        <f t="shared" si="17"/>
        <v>1.7484902528269526</v>
      </c>
      <c r="N155" s="13">
        <f t="shared" si="18"/>
        <v>3.0572181642308607</v>
      </c>
    </row>
    <row r="156" spans="1:14">
      <c r="A156" t="s">
        <v>11</v>
      </c>
      <c r="B156" t="s">
        <v>8</v>
      </c>
      <c r="C156" t="s">
        <v>9</v>
      </c>
      <c r="D156" t="s">
        <v>10</v>
      </c>
      <c r="E156">
        <v>2</v>
      </c>
      <c r="F156">
        <v>4</v>
      </c>
      <c r="G156">
        <v>19.77</v>
      </c>
      <c r="H156" s="2">
        <f t="shared" si="13"/>
        <v>0</v>
      </c>
      <c r="I156">
        <f t="shared" si="14"/>
        <v>0</v>
      </c>
      <c r="J156">
        <f t="shared" si="15"/>
        <v>4</v>
      </c>
      <c r="K156">
        <f t="shared" si="16"/>
        <v>1</v>
      </c>
      <c r="L156" s="13">
        <f>Sheet1!$B$17+(Sheet1!$B$18*tips!F156)+(Sheet1!$B$19*tips!G156)+(Sheet1!$B$20*tips!H156)+(Sheet1!$B$21*tips!I156)+(Sheet1!$B$22*tips!J156)+(Sheet1!$B$23*tips!K156)</f>
        <v>3.297910633883375</v>
      </c>
      <c r="M156" s="13">
        <f t="shared" si="17"/>
        <v>1.297910633883375</v>
      </c>
      <c r="N156" s="13">
        <f t="shared" si="18"/>
        <v>1.6845720135475444</v>
      </c>
    </row>
    <row r="157" spans="1:14">
      <c r="A157" t="s">
        <v>7</v>
      </c>
      <c r="B157" t="s">
        <v>8</v>
      </c>
      <c r="C157" t="s">
        <v>9</v>
      </c>
      <c r="D157" t="s">
        <v>10</v>
      </c>
      <c r="E157">
        <v>5.14</v>
      </c>
      <c r="F157">
        <v>5</v>
      </c>
      <c r="G157">
        <v>29.85</v>
      </c>
      <c r="H157" s="2">
        <f t="shared" si="13"/>
        <v>1</v>
      </c>
      <c r="I157">
        <f t="shared" si="14"/>
        <v>0</v>
      </c>
      <c r="J157">
        <f t="shared" si="15"/>
        <v>4</v>
      </c>
      <c r="K157">
        <f t="shared" si="16"/>
        <v>1</v>
      </c>
      <c r="L157" s="13">
        <f>Sheet1!$B$17+(Sheet1!$B$18*tips!F157)+(Sheet1!$B$19*tips!G157)+(Sheet1!$B$20*tips!H157)+(Sheet1!$B$21*tips!I157)+(Sheet1!$B$22*tips!J157)+(Sheet1!$B$23*tips!K157)</f>
        <v>4.4596837867597783</v>
      </c>
      <c r="M157" s="13">
        <f t="shared" si="17"/>
        <v>-0.6803162132402214</v>
      </c>
      <c r="N157" s="13">
        <f t="shared" si="18"/>
        <v>0.46283014999751437</v>
      </c>
    </row>
    <row r="158" spans="1:14">
      <c r="A158" t="s">
        <v>11</v>
      </c>
      <c r="B158" t="s">
        <v>8</v>
      </c>
      <c r="C158" t="s">
        <v>9</v>
      </c>
      <c r="D158" t="s">
        <v>10</v>
      </c>
      <c r="E158">
        <v>5</v>
      </c>
      <c r="F158">
        <v>6</v>
      </c>
      <c r="G158">
        <v>48.17</v>
      </c>
      <c r="H158" s="2">
        <f t="shared" si="13"/>
        <v>0</v>
      </c>
      <c r="I158">
        <f t="shared" si="14"/>
        <v>0</v>
      </c>
      <c r="J158">
        <f t="shared" si="15"/>
        <v>4</v>
      </c>
      <c r="K158">
        <f t="shared" si="16"/>
        <v>1</v>
      </c>
      <c r="L158" s="13">
        <f>Sheet1!$B$17+(Sheet1!$B$18*tips!F158)+(Sheet1!$B$19*tips!G158)+(Sheet1!$B$20*tips!H158)+(Sheet1!$B$21*tips!I158)+(Sheet1!$B$22*tips!J158)+(Sheet1!$B$23*tips!K158)</f>
        <v>6.3249233034287693</v>
      </c>
      <c r="M158" s="13">
        <f t="shared" si="17"/>
        <v>1.3249233034287693</v>
      </c>
      <c r="N158" s="13">
        <f t="shared" si="18"/>
        <v>1.7554217599686026</v>
      </c>
    </row>
    <row r="159" spans="1:14">
      <c r="A159" t="s">
        <v>7</v>
      </c>
      <c r="B159" t="s">
        <v>8</v>
      </c>
      <c r="C159" t="s">
        <v>9</v>
      </c>
      <c r="D159" t="s">
        <v>10</v>
      </c>
      <c r="E159">
        <v>3.75</v>
      </c>
      <c r="F159">
        <v>4</v>
      </c>
      <c r="G159">
        <v>25</v>
      </c>
      <c r="H159" s="2">
        <f t="shared" si="13"/>
        <v>1</v>
      </c>
      <c r="I159">
        <f t="shared" si="14"/>
        <v>0</v>
      </c>
      <c r="J159">
        <f t="shared" si="15"/>
        <v>4</v>
      </c>
      <c r="K159">
        <f t="shared" si="16"/>
        <v>1</v>
      </c>
      <c r="L159" s="13">
        <f>Sheet1!$B$17+(Sheet1!$B$18*tips!F159)+(Sheet1!$B$19*tips!G159)+(Sheet1!$B$20*tips!H159)+(Sheet1!$B$21*tips!I159)+(Sheet1!$B$22*tips!J159)+(Sheet1!$B$23*tips!K159)</f>
        <v>3.8275413509666731</v>
      </c>
      <c r="M159" s="13">
        <f t="shared" si="17"/>
        <v>7.7541350966673139E-2</v>
      </c>
      <c r="N159" s="13">
        <f t="shared" si="18"/>
        <v>6.0126611097367812E-3</v>
      </c>
    </row>
    <row r="160" spans="1:14">
      <c r="A160" t="s">
        <v>7</v>
      </c>
      <c r="B160" t="s">
        <v>8</v>
      </c>
      <c r="C160" t="s">
        <v>9</v>
      </c>
      <c r="D160" t="s">
        <v>10</v>
      </c>
      <c r="E160">
        <v>2.61</v>
      </c>
      <c r="F160">
        <v>2</v>
      </c>
      <c r="G160">
        <v>13.39</v>
      </c>
      <c r="H160" s="2">
        <f t="shared" si="13"/>
        <v>1</v>
      </c>
      <c r="I160">
        <f t="shared" si="14"/>
        <v>0</v>
      </c>
      <c r="J160">
        <f t="shared" si="15"/>
        <v>4</v>
      </c>
      <c r="K160">
        <f t="shared" si="16"/>
        <v>1</v>
      </c>
      <c r="L160" s="13">
        <f>Sheet1!$B$17+(Sheet1!$B$18*tips!F160)+(Sheet1!$B$19*tips!G160)+(Sheet1!$B$20*tips!H160)+(Sheet1!$B$21*tips!I160)+(Sheet1!$B$22*tips!J160)+(Sheet1!$B$23*tips!K160)</f>
        <v>2.383213158840245</v>
      </c>
      <c r="M160" s="13">
        <f t="shared" si="17"/>
        <v>-0.22678684115975489</v>
      </c>
      <c r="N160" s="13">
        <f t="shared" si="18"/>
        <v>5.1432271323219897E-2</v>
      </c>
    </row>
    <row r="161" spans="1:14">
      <c r="A161" t="s">
        <v>11</v>
      </c>
      <c r="B161" t="s">
        <v>8</v>
      </c>
      <c r="C161" t="s">
        <v>9</v>
      </c>
      <c r="D161" t="s">
        <v>10</v>
      </c>
      <c r="E161">
        <v>2</v>
      </c>
      <c r="F161">
        <v>4</v>
      </c>
      <c r="G161">
        <v>16.489999999999998</v>
      </c>
      <c r="H161" s="2">
        <f t="shared" si="13"/>
        <v>0</v>
      </c>
      <c r="I161">
        <f t="shared" si="14"/>
        <v>0</v>
      </c>
      <c r="J161">
        <f t="shared" si="15"/>
        <v>4</v>
      </c>
      <c r="K161">
        <f t="shared" si="16"/>
        <v>1</v>
      </c>
      <c r="L161" s="13">
        <f>Sheet1!$B$17+(Sheet1!$B$18*tips!F161)+(Sheet1!$B$19*tips!G161)+(Sheet1!$B$20*tips!H161)+(Sheet1!$B$21*tips!I161)+(Sheet1!$B$22*tips!J161)+(Sheet1!$B$23*tips!K161)</f>
        <v>2.9887262928509624</v>
      </c>
      <c r="M161" s="13">
        <f t="shared" si="17"/>
        <v>0.98872629285096236</v>
      </c>
      <c r="N161" s="13">
        <f t="shared" si="18"/>
        <v>0.97757968217480695</v>
      </c>
    </row>
    <row r="162" spans="1:14">
      <c r="A162" t="s">
        <v>11</v>
      </c>
      <c r="B162" t="s">
        <v>8</v>
      </c>
      <c r="C162" t="s">
        <v>9</v>
      </c>
      <c r="D162" t="s">
        <v>10</v>
      </c>
      <c r="E162">
        <v>3.5</v>
      </c>
      <c r="F162">
        <v>4</v>
      </c>
      <c r="G162">
        <v>21.5</v>
      </c>
      <c r="H162" s="2">
        <f t="shared" si="13"/>
        <v>0</v>
      </c>
      <c r="I162">
        <f t="shared" si="14"/>
        <v>0</v>
      </c>
      <c r="J162">
        <f t="shared" si="15"/>
        <v>4</v>
      </c>
      <c r="K162">
        <f t="shared" si="16"/>
        <v>1</v>
      </c>
      <c r="L162" s="13">
        <f>Sheet1!$B$17+(Sheet1!$B$18*tips!F162)+(Sheet1!$B$19*tips!G162)+(Sheet1!$B$20*tips!H162)+(Sheet1!$B$21*tips!I162)+(Sheet1!$B$22*tips!J162)+(Sheet1!$B$23*tips!K162)</f>
        <v>3.4609865210742514</v>
      </c>
      <c r="M162" s="13">
        <f t="shared" si="17"/>
        <v>-3.9013478925748579E-2</v>
      </c>
      <c r="N162" s="13">
        <f t="shared" si="18"/>
        <v>1.5220515378898286E-3</v>
      </c>
    </row>
    <row r="163" spans="1:14">
      <c r="A163" t="s">
        <v>11</v>
      </c>
      <c r="B163" t="s">
        <v>8</v>
      </c>
      <c r="C163" t="s">
        <v>9</v>
      </c>
      <c r="D163" t="s">
        <v>10</v>
      </c>
      <c r="E163">
        <v>2.5</v>
      </c>
      <c r="F163">
        <v>2</v>
      </c>
      <c r="G163">
        <v>12.66</v>
      </c>
      <c r="H163" s="2">
        <f t="shared" si="13"/>
        <v>0</v>
      </c>
      <c r="I163">
        <f t="shared" si="14"/>
        <v>0</v>
      </c>
      <c r="J163">
        <f t="shared" si="15"/>
        <v>4</v>
      </c>
      <c r="K163">
        <f t="shared" si="16"/>
        <v>1</v>
      </c>
      <c r="L163" s="13">
        <f>Sheet1!$B$17+(Sheet1!$B$18*tips!F163)+(Sheet1!$B$19*tips!G163)+(Sheet1!$B$20*tips!H163)+(Sheet1!$B$21*tips!I163)+(Sheet1!$B$22*tips!J163)+(Sheet1!$B$23*tips!K163)</f>
        <v>2.2777682754904403</v>
      </c>
      <c r="M163" s="13">
        <f t="shared" si="17"/>
        <v>-0.22223172450955975</v>
      </c>
      <c r="N163" s="13">
        <f t="shared" si="18"/>
        <v>4.938693937849286E-2</v>
      </c>
    </row>
    <row r="164" spans="1:14">
      <c r="A164" t="s">
        <v>7</v>
      </c>
      <c r="B164" t="s">
        <v>8</v>
      </c>
      <c r="C164" t="s">
        <v>9</v>
      </c>
      <c r="D164" t="s">
        <v>10</v>
      </c>
      <c r="E164">
        <v>2</v>
      </c>
      <c r="F164">
        <v>3</v>
      </c>
      <c r="G164">
        <v>16.21</v>
      </c>
      <c r="H164" s="2">
        <f t="shared" si="13"/>
        <v>1</v>
      </c>
      <c r="I164">
        <f t="shared" si="14"/>
        <v>0</v>
      </c>
      <c r="J164">
        <f t="shared" si="15"/>
        <v>4</v>
      </c>
      <c r="K164">
        <f t="shared" si="16"/>
        <v>1</v>
      </c>
      <c r="L164" s="13">
        <f>Sheet1!$B$17+(Sheet1!$B$18*tips!F164)+(Sheet1!$B$19*tips!G164)+(Sheet1!$B$20*tips!H164)+(Sheet1!$B$21*tips!I164)+(Sheet1!$B$22*tips!J164)+(Sheet1!$B$23*tips!K164)</f>
        <v>2.8240006518602416</v>
      </c>
      <c r="M164" s="13">
        <f t="shared" si="17"/>
        <v>0.82400065186024163</v>
      </c>
      <c r="N164" s="13">
        <f t="shared" si="18"/>
        <v>0.6789770742661031</v>
      </c>
    </row>
    <row r="165" spans="1:14">
      <c r="A165" t="s">
        <v>11</v>
      </c>
      <c r="B165" t="s">
        <v>8</v>
      </c>
      <c r="C165" t="s">
        <v>9</v>
      </c>
      <c r="D165" t="s">
        <v>10</v>
      </c>
      <c r="E165">
        <v>2</v>
      </c>
      <c r="F165">
        <v>2</v>
      </c>
      <c r="G165">
        <v>13.81</v>
      </c>
      <c r="H165" s="2">
        <f t="shared" si="13"/>
        <v>0</v>
      </c>
      <c r="I165">
        <f t="shared" si="14"/>
        <v>0</v>
      </c>
      <c r="J165">
        <f t="shared" si="15"/>
        <v>4</v>
      </c>
      <c r="K165">
        <f t="shared" si="16"/>
        <v>1</v>
      </c>
      <c r="L165" s="13">
        <f>Sheet1!$B$17+(Sheet1!$B$18*tips!F165)+(Sheet1!$B$19*tips!G165)+(Sheet1!$B$20*tips!H165)+(Sheet1!$B$21*tips!I165)+(Sheet1!$B$22*tips!J165)+(Sheet1!$B$23*tips!K165)</f>
        <v>2.3861713218889995</v>
      </c>
      <c r="M165" s="13">
        <f t="shared" si="17"/>
        <v>0.3861713218889995</v>
      </c>
      <c r="N165" s="13">
        <f t="shared" si="18"/>
        <v>0.14912828984949728</v>
      </c>
    </row>
    <row r="166" spans="1:14">
      <c r="A166" t="s">
        <v>7</v>
      </c>
      <c r="B166" t="s">
        <v>22</v>
      </c>
      <c r="C166" t="s">
        <v>9</v>
      </c>
      <c r="D166" t="s">
        <v>10</v>
      </c>
      <c r="E166">
        <v>3</v>
      </c>
      <c r="F166">
        <v>2</v>
      </c>
      <c r="G166">
        <v>17.510000000000002</v>
      </c>
      <c r="H166" s="2">
        <f t="shared" si="13"/>
        <v>1</v>
      </c>
      <c r="I166">
        <f t="shared" si="14"/>
        <v>1</v>
      </c>
      <c r="J166">
        <f t="shared" si="15"/>
        <v>4</v>
      </c>
      <c r="K166">
        <f t="shared" si="16"/>
        <v>1</v>
      </c>
      <c r="L166" s="13">
        <f>Sheet1!$B$17+(Sheet1!$B$18*tips!F166)+(Sheet1!$B$19*tips!G166)+(Sheet1!$B$20*tips!H166)+(Sheet1!$B$21*tips!I166)+(Sheet1!$B$22*tips!J166)+(Sheet1!$B$23*tips!K166)</f>
        <v>2.6987345247129766</v>
      </c>
      <c r="M166" s="13">
        <f t="shared" si="17"/>
        <v>-0.30126547528702341</v>
      </c>
      <c r="N166" s="13">
        <f t="shared" si="18"/>
        <v>9.0760886599916116E-2</v>
      </c>
    </row>
    <row r="167" spans="1:14">
      <c r="A167" t="s">
        <v>11</v>
      </c>
      <c r="B167" t="s">
        <v>8</v>
      </c>
      <c r="C167" t="s">
        <v>9</v>
      </c>
      <c r="D167" t="s">
        <v>10</v>
      </c>
      <c r="E167">
        <v>3.48</v>
      </c>
      <c r="F167">
        <v>3</v>
      </c>
      <c r="G167">
        <v>24.52</v>
      </c>
      <c r="H167" s="2">
        <f t="shared" si="13"/>
        <v>0</v>
      </c>
      <c r="I167">
        <f t="shared" si="14"/>
        <v>0</v>
      </c>
      <c r="J167">
        <f t="shared" si="15"/>
        <v>4</v>
      </c>
      <c r="K167">
        <f t="shared" si="16"/>
        <v>1</v>
      </c>
      <c r="L167" s="13">
        <f>Sheet1!$B$17+(Sheet1!$B$18*tips!F167)+(Sheet1!$B$19*tips!G167)+(Sheet1!$B$20*tips!H167)+(Sheet1!$B$21*tips!I167)+(Sheet1!$B$22*tips!J167)+(Sheet1!$B$23*tips!K167)</f>
        <v>3.5706979767217208</v>
      </c>
      <c r="M167" s="13">
        <f t="shared" si="17"/>
        <v>9.0697976721720863E-2</v>
      </c>
      <c r="N167" s="13">
        <f t="shared" si="18"/>
        <v>8.2261229814138189E-3</v>
      </c>
    </row>
    <row r="168" spans="1:14">
      <c r="A168" t="s">
        <v>11</v>
      </c>
      <c r="B168" t="s">
        <v>8</v>
      </c>
      <c r="C168" t="s">
        <v>9</v>
      </c>
      <c r="D168" t="s">
        <v>10</v>
      </c>
      <c r="E168">
        <v>2.2400000000000002</v>
      </c>
      <c r="F168">
        <v>2</v>
      </c>
      <c r="G168">
        <v>20.76</v>
      </c>
      <c r="H168" s="2">
        <f t="shared" si="13"/>
        <v>0</v>
      </c>
      <c r="I168">
        <f t="shared" si="14"/>
        <v>0</v>
      </c>
      <c r="J168">
        <f t="shared" si="15"/>
        <v>4</v>
      </c>
      <c r="K168">
        <f t="shared" si="16"/>
        <v>1</v>
      </c>
      <c r="L168" s="13">
        <f>Sheet1!$B$17+(Sheet1!$B$18*tips!F168)+(Sheet1!$B$19*tips!G168)+(Sheet1!$B$20*tips!H168)+(Sheet1!$B$21*tips!I168)+(Sheet1!$B$22*tips!J168)+(Sheet1!$B$23*tips!K168)</f>
        <v>3.0413027762107276</v>
      </c>
      <c r="M168" s="13">
        <f t="shared" si="17"/>
        <v>0.80130277621072743</v>
      </c>
      <c r="N168" s="13">
        <f t="shared" si="18"/>
        <v>0.64208613916301915</v>
      </c>
    </row>
    <row r="169" spans="1:14">
      <c r="A169" t="s">
        <v>11</v>
      </c>
      <c r="B169" t="s">
        <v>8</v>
      </c>
      <c r="C169" t="s">
        <v>9</v>
      </c>
      <c r="D169" t="s">
        <v>10</v>
      </c>
      <c r="E169">
        <v>4.5</v>
      </c>
      <c r="F169">
        <v>4</v>
      </c>
      <c r="G169">
        <v>31.71</v>
      </c>
      <c r="H169" s="2">
        <f t="shared" si="13"/>
        <v>0</v>
      </c>
      <c r="I169">
        <f t="shared" si="14"/>
        <v>0</v>
      </c>
      <c r="J169">
        <f t="shared" si="15"/>
        <v>4</v>
      </c>
      <c r="K169">
        <f t="shared" si="16"/>
        <v>1</v>
      </c>
      <c r="L169" s="13">
        <f>Sheet1!$B$17+(Sheet1!$B$18*tips!F169)+(Sheet1!$B$19*tips!G169)+(Sheet1!$B$20*tips!H169)+(Sheet1!$B$21*tips!I169)+(Sheet1!$B$22*tips!J169)+(Sheet1!$B$23*tips!K169)</f>
        <v>4.423417046056243</v>
      </c>
      <c r="M169" s="13">
        <f t="shared" si="17"/>
        <v>-7.6582953943757026E-2</v>
      </c>
      <c r="N169" s="13">
        <f t="shared" si="18"/>
        <v>5.8649488347516099E-3</v>
      </c>
    </row>
    <row r="170" spans="1:14">
      <c r="A170" t="s">
        <v>7</v>
      </c>
      <c r="B170" t="s">
        <v>22</v>
      </c>
      <c r="C170" t="s">
        <v>21</v>
      </c>
      <c r="D170" t="s">
        <v>10</v>
      </c>
      <c r="E170">
        <v>1.61</v>
      </c>
      <c r="F170">
        <v>2</v>
      </c>
      <c r="G170">
        <v>10.59</v>
      </c>
      <c r="H170" s="2">
        <f t="shared" si="13"/>
        <v>1</v>
      </c>
      <c r="I170">
        <f t="shared" si="14"/>
        <v>1</v>
      </c>
      <c r="J170">
        <f t="shared" si="15"/>
        <v>3</v>
      </c>
      <c r="K170">
        <f t="shared" si="16"/>
        <v>1</v>
      </c>
      <c r="L170" s="13">
        <f>Sheet1!$B$17+(Sheet1!$B$18*tips!F170)+(Sheet1!$B$19*tips!G170)+(Sheet1!$B$20*tips!H170)+(Sheet1!$B$21*tips!I170)+(Sheet1!$B$22*tips!J170)+(Sheet1!$B$23*tips!K170)</f>
        <v>1.9934256709665357</v>
      </c>
      <c r="M170" s="13">
        <f t="shared" si="17"/>
        <v>0.38342567096653557</v>
      </c>
      <c r="N170" s="13">
        <f t="shared" si="18"/>
        <v>0.14701524515613801</v>
      </c>
    </row>
    <row r="171" spans="1:14">
      <c r="A171" t="s">
        <v>7</v>
      </c>
      <c r="B171" t="s">
        <v>22</v>
      </c>
      <c r="C171" t="s">
        <v>21</v>
      </c>
      <c r="D171" t="s">
        <v>10</v>
      </c>
      <c r="E171">
        <v>2</v>
      </c>
      <c r="F171">
        <v>2</v>
      </c>
      <c r="G171">
        <v>10.63</v>
      </c>
      <c r="H171" s="2">
        <f t="shared" si="13"/>
        <v>1</v>
      </c>
      <c r="I171">
        <f t="shared" si="14"/>
        <v>1</v>
      </c>
      <c r="J171">
        <f t="shared" si="15"/>
        <v>3</v>
      </c>
      <c r="K171">
        <f t="shared" si="16"/>
        <v>1</v>
      </c>
      <c r="L171" s="13">
        <f>Sheet1!$B$17+(Sheet1!$B$18*tips!F171)+(Sheet1!$B$19*tips!G171)+(Sheet1!$B$20*tips!H171)+(Sheet1!$B$21*tips!I171)+(Sheet1!$B$22*tips!J171)+(Sheet1!$B$23*tips!K171)</f>
        <v>1.9971962117108333</v>
      </c>
      <c r="M171" s="13">
        <f t="shared" si="17"/>
        <v>-2.8037882891667198E-3</v>
      </c>
      <c r="N171" s="13">
        <f t="shared" si="18"/>
        <v>7.8612287704684416E-6</v>
      </c>
    </row>
    <row r="172" spans="1:14">
      <c r="A172" t="s">
        <v>11</v>
      </c>
      <c r="B172" t="s">
        <v>22</v>
      </c>
      <c r="C172" t="s">
        <v>21</v>
      </c>
      <c r="D172" t="s">
        <v>10</v>
      </c>
      <c r="E172">
        <v>10</v>
      </c>
      <c r="F172">
        <v>3</v>
      </c>
      <c r="G172">
        <v>50.81</v>
      </c>
      <c r="H172" s="2">
        <f t="shared" si="13"/>
        <v>0</v>
      </c>
      <c r="I172">
        <f t="shared" si="14"/>
        <v>1</v>
      </c>
      <c r="J172">
        <f t="shared" si="15"/>
        <v>3</v>
      </c>
      <c r="K172">
        <f t="shared" si="16"/>
        <v>1</v>
      </c>
      <c r="L172" s="13">
        <f>Sheet1!$B$17+(Sheet1!$B$18*tips!F172)+(Sheet1!$B$19*tips!G172)+(Sheet1!$B$20*tips!H172)+(Sheet1!$B$21*tips!I172)+(Sheet1!$B$22*tips!J172)+(Sheet1!$B$23*tips!K172)</f>
        <v>5.9230362451385261</v>
      </c>
      <c r="M172" s="13">
        <f t="shared" si="17"/>
        <v>-4.0769637548614739</v>
      </c>
      <c r="N172" s="13">
        <f t="shared" si="18"/>
        <v>16.62163345845417</v>
      </c>
    </row>
    <row r="173" spans="1:14">
      <c r="A173" t="s">
        <v>11</v>
      </c>
      <c r="B173" t="s">
        <v>22</v>
      </c>
      <c r="C173" t="s">
        <v>21</v>
      </c>
      <c r="D173" t="s">
        <v>10</v>
      </c>
      <c r="E173">
        <v>3.16</v>
      </c>
      <c r="F173">
        <v>2</v>
      </c>
      <c r="G173">
        <v>15.81</v>
      </c>
      <c r="H173" s="2">
        <f t="shared" si="13"/>
        <v>0</v>
      </c>
      <c r="I173">
        <f t="shared" si="14"/>
        <v>1</v>
      </c>
      <c r="J173">
        <f t="shared" si="15"/>
        <v>3</v>
      </c>
      <c r="K173">
        <f t="shared" si="16"/>
        <v>1</v>
      </c>
      <c r="L173" s="13">
        <f>Sheet1!$B$17+(Sheet1!$B$18*tips!F173)+(Sheet1!$B$19*tips!G173)+(Sheet1!$B$20*tips!H173)+(Sheet1!$B$21*tips!I173)+(Sheet1!$B$22*tips!J173)+(Sheet1!$B$23*tips!K173)</f>
        <v>2.4488487233310159</v>
      </c>
      <c r="M173" s="13">
        <f t="shared" si="17"/>
        <v>-0.71115127666898426</v>
      </c>
      <c r="N173" s="13">
        <f t="shared" si="18"/>
        <v>0.50573613830792619</v>
      </c>
    </row>
    <row r="174" spans="1:14">
      <c r="A174" t="s">
        <v>11</v>
      </c>
      <c r="B174" t="s">
        <v>22</v>
      </c>
      <c r="C174" t="s">
        <v>9</v>
      </c>
      <c r="D174" t="s">
        <v>10</v>
      </c>
      <c r="E174">
        <v>5.15</v>
      </c>
      <c r="F174">
        <v>2</v>
      </c>
      <c r="G174">
        <v>7.25</v>
      </c>
      <c r="H174" s="2">
        <f t="shared" si="13"/>
        <v>0</v>
      </c>
      <c r="I174">
        <f t="shared" si="14"/>
        <v>1</v>
      </c>
      <c r="J174">
        <f t="shared" si="15"/>
        <v>4</v>
      </c>
      <c r="K174">
        <f t="shared" si="16"/>
        <v>1</v>
      </c>
      <c r="L174" s="13">
        <f>Sheet1!$B$17+(Sheet1!$B$18*tips!F174)+(Sheet1!$B$19*tips!G174)+(Sheet1!$B$20*tips!H174)+(Sheet1!$B$21*tips!I174)+(Sheet1!$B$22*tips!J174)+(Sheet1!$B$23*tips!K174)</f>
        <v>1.6949583090342411</v>
      </c>
      <c r="M174" s="13">
        <f t="shared" si="17"/>
        <v>-3.4550416909657593</v>
      </c>
      <c r="N174" s="13">
        <f t="shared" si="18"/>
        <v>11.937313086311534</v>
      </c>
    </row>
    <row r="175" spans="1:14">
      <c r="A175" t="s">
        <v>11</v>
      </c>
      <c r="B175" t="s">
        <v>22</v>
      </c>
      <c r="C175" t="s">
        <v>9</v>
      </c>
      <c r="D175" t="s">
        <v>10</v>
      </c>
      <c r="E175">
        <v>3.18</v>
      </c>
      <c r="F175">
        <v>2</v>
      </c>
      <c r="G175">
        <v>31.85</v>
      </c>
      <c r="H175" s="2">
        <f t="shared" si="13"/>
        <v>0</v>
      </c>
      <c r="I175">
        <f t="shared" si="14"/>
        <v>1</v>
      </c>
      <c r="J175">
        <f t="shared" si="15"/>
        <v>4</v>
      </c>
      <c r="K175">
        <f t="shared" si="16"/>
        <v>1</v>
      </c>
      <c r="L175" s="13">
        <f>Sheet1!$B$17+(Sheet1!$B$18*tips!F175)+(Sheet1!$B$19*tips!G175)+(Sheet1!$B$20*tips!H175)+(Sheet1!$B$21*tips!I175)+(Sheet1!$B$22*tips!J175)+(Sheet1!$B$23*tips!K175)</f>
        <v>4.0138408667773362</v>
      </c>
      <c r="M175" s="13">
        <f t="shared" si="17"/>
        <v>0.83384086677733604</v>
      </c>
      <c r="N175" s="13">
        <f t="shared" si="18"/>
        <v>0.69529059110797908</v>
      </c>
    </row>
    <row r="176" spans="1:14">
      <c r="A176" t="s">
        <v>11</v>
      </c>
      <c r="B176" t="s">
        <v>22</v>
      </c>
      <c r="C176" t="s">
        <v>9</v>
      </c>
      <c r="D176" t="s">
        <v>10</v>
      </c>
      <c r="E176">
        <v>4</v>
      </c>
      <c r="F176">
        <v>2</v>
      </c>
      <c r="G176">
        <v>16.82</v>
      </c>
      <c r="H176" s="2">
        <f t="shared" si="13"/>
        <v>0</v>
      </c>
      <c r="I176">
        <f t="shared" si="14"/>
        <v>1</v>
      </c>
      <c r="J176">
        <f t="shared" si="15"/>
        <v>4</v>
      </c>
      <c r="K176">
        <f t="shared" si="16"/>
        <v>1</v>
      </c>
      <c r="L176" s="13">
        <f>Sheet1!$B$17+(Sheet1!$B$18*tips!F176)+(Sheet1!$B$19*tips!G176)+(Sheet1!$B$20*tips!H176)+(Sheet1!$B$21*tips!I176)+(Sheet1!$B$22*tips!J176)+(Sheet1!$B$23*tips!K176)</f>
        <v>2.5970601821074695</v>
      </c>
      <c r="M176" s="13">
        <f t="shared" si="17"/>
        <v>-1.4029398178925305</v>
      </c>
      <c r="N176" s="13">
        <f t="shared" si="18"/>
        <v>1.9682401326283268</v>
      </c>
    </row>
    <row r="177" spans="1:14">
      <c r="A177" t="s">
        <v>11</v>
      </c>
      <c r="B177" t="s">
        <v>22</v>
      </c>
      <c r="C177" t="s">
        <v>9</v>
      </c>
      <c r="D177" t="s">
        <v>10</v>
      </c>
      <c r="E177">
        <v>3.11</v>
      </c>
      <c r="F177">
        <v>2</v>
      </c>
      <c r="G177">
        <v>32.9</v>
      </c>
      <c r="H177" s="2">
        <f t="shared" si="13"/>
        <v>0</v>
      </c>
      <c r="I177">
        <f t="shared" si="14"/>
        <v>1</v>
      </c>
      <c r="J177">
        <f t="shared" si="15"/>
        <v>4</v>
      </c>
      <c r="K177">
        <f t="shared" si="16"/>
        <v>1</v>
      </c>
      <c r="L177" s="13">
        <f>Sheet1!$B$17+(Sheet1!$B$18*tips!F177)+(Sheet1!$B$19*tips!G177)+(Sheet1!$B$20*tips!H177)+(Sheet1!$B$21*tips!I177)+(Sheet1!$B$22*tips!J177)+(Sheet1!$B$23*tips!K177)</f>
        <v>4.1128175613151505</v>
      </c>
      <c r="M177" s="13">
        <f t="shared" si="17"/>
        <v>1.0028175613151507</v>
      </c>
      <c r="N177" s="13">
        <f t="shared" si="18"/>
        <v>1.0056430612820659</v>
      </c>
    </row>
    <row r="178" spans="1:14">
      <c r="A178" t="s">
        <v>11</v>
      </c>
      <c r="B178" t="s">
        <v>22</v>
      </c>
      <c r="C178" t="s">
        <v>9</v>
      </c>
      <c r="D178" t="s">
        <v>10</v>
      </c>
      <c r="E178">
        <v>2</v>
      </c>
      <c r="F178">
        <v>2</v>
      </c>
      <c r="G178">
        <v>17.89</v>
      </c>
      <c r="H178" s="2">
        <f t="shared" si="13"/>
        <v>0</v>
      </c>
      <c r="I178">
        <f t="shared" si="14"/>
        <v>1</v>
      </c>
      <c r="J178">
        <f t="shared" si="15"/>
        <v>4</v>
      </c>
      <c r="K178">
        <f t="shared" si="16"/>
        <v>1</v>
      </c>
      <c r="L178" s="13">
        <f>Sheet1!$B$17+(Sheet1!$B$18*tips!F178)+(Sheet1!$B$19*tips!G178)+(Sheet1!$B$20*tips!H178)+(Sheet1!$B$21*tips!I178)+(Sheet1!$B$22*tips!J178)+(Sheet1!$B$23*tips!K178)</f>
        <v>2.697922147017433</v>
      </c>
      <c r="M178" s="13">
        <f t="shared" si="17"/>
        <v>0.69792214701743305</v>
      </c>
      <c r="N178" s="13">
        <f t="shared" si="18"/>
        <v>0.48709532329742344</v>
      </c>
    </row>
    <row r="179" spans="1:14">
      <c r="A179" t="s">
        <v>11</v>
      </c>
      <c r="B179" t="s">
        <v>22</v>
      </c>
      <c r="C179" t="s">
        <v>9</v>
      </c>
      <c r="D179" t="s">
        <v>10</v>
      </c>
      <c r="E179">
        <v>2</v>
      </c>
      <c r="F179">
        <v>2</v>
      </c>
      <c r="G179">
        <v>14.48</v>
      </c>
      <c r="H179" s="2">
        <f t="shared" si="13"/>
        <v>0</v>
      </c>
      <c r="I179">
        <f t="shared" si="14"/>
        <v>1</v>
      </c>
      <c r="J179">
        <f t="shared" si="15"/>
        <v>4</v>
      </c>
      <c r="K179">
        <f t="shared" si="16"/>
        <v>1</v>
      </c>
      <c r="L179" s="13">
        <f>Sheet1!$B$17+(Sheet1!$B$18*tips!F179)+(Sheet1!$B$19*tips!G179)+(Sheet1!$B$20*tips!H179)+(Sheet1!$B$21*tips!I179)+(Sheet1!$B$22*tips!J179)+(Sheet1!$B$23*tips!K179)</f>
        <v>2.3764835485660534</v>
      </c>
      <c r="M179" s="13">
        <f t="shared" si="17"/>
        <v>0.37648354856605337</v>
      </c>
      <c r="N179" s="13">
        <f t="shared" si="18"/>
        <v>0.14173986234088787</v>
      </c>
    </row>
    <row r="180" spans="1:14">
      <c r="A180" t="s">
        <v>7</v>
      </c>
      <c r="B180" t="s">
        <v>22</v>
      </c>
      <c r="C180" t="s">
        <v>9</v>
      </c>
      <c r="D180" t="s">
        <v>10</v>
      </c>
      <c r="E180">
        <v>4</v>
      </c>
      <c r="F180">
        <v>2</v>
      </c>
      <c r="G180">
        <v>9.6</v>
      </c>
      <c r="H180" s="2">
        <f t="shared" si="13"/>
        <v>1</v>
      </c>
      <c r="I180">
        <f t="shared" si="14"/>
        <v>1</v>
      </c>
      <c r="J180">
        <f t="shared" si="15"/>
        <v>4</v>
      </c>
      <c r="K180">
        <f t="shared" si="16"/>
        <v>1</v>
      </c>
      <c r="L180" s="13">
        <f>Sheet1!$B$17+(Sheet1!$B$18*tips!F180)+(Sheet1!$B$19*tips!G180)+(Sheet1!$B$20*tips!H180)+(Sheet1!$B$21*tips!I180)+(Sheet1!$B$22*tips!J180)+(Sheet1!$B$23*tips!K180)</f>
        <v>1.9531100925281029</v>
      </c>
      <c r="M180" s="13">
        <f t="shared" si="17"/>
        <v>-2.0468899074718969</v>
      </c>
      <c r="N180" s="13">
        <f t="shared" si="18"/>
        <v>4.1897582933103106</v>
      </c>
    </row>
    <row r="181" spans="1:14">
      <c r="A181" t="s">
        <v>11</v>
      </c>
      <c r="B181" t="s">
        <v>22</v>
      </c>
      <c r="C181" t="s">
        <v>9</v>
      </c>
      <c r="D181" t="s">
        <v>10</v>
      </c>
      <c r="E181">
        <v>3.55</v>
      </c>
      <c r="F181">
        <v>2</v>
      </c>
      <c r="G181">
        <v>34.630000000000003</v>
      </c>
      <c r="H181" s="2">
        <f t="shared" si="13"/>
        <v>0</v>
      </c>
      <c r="I181">
        <f t="shared" si="14"/>
        <v>1</v>
      </c>
      <c r="J181">
        <f t="shared" si="15"/>
        <v>4</v>
      </c>
      <c r="K181">
        <f t="shared" si="16"/>
        <v>1</v>
      </c>
      <c r="L181" s="13">
        <f>Sheet1!$B$17+(Sheet1!$B$18*tips!F181)+(Sheet1!$B$19*tips!G181)+(Sheet1!$B$20*tips!H181)+(Sheet1!$B$21*tips!I181)+(Sheet1!$B$22*tips!J181)+(Sheet1!$B$23*tips!K181)</f>
        <v>4.2758934485060269</v>
      </c>
      <c r="M181" s="13">
        <f t="shared" si="17"/>
        <v>0.72589344850602711</v>
      </c>
      <c r="N181" s="13">
        <f t="shared" si="18"/>
        <v>0.52692129858397219</v>
      </c>
    </row>
    <row r="182" spans="1:14">
      <c r="A182" t="s">
        <v>11</v>
      </c>
      <c r="B182" t="s">
        <v>22</v>
      </c>
      <c r="C182" t="s">
        <v>9</v>
      </c>
      <c r="D182" t="s">
        <v>10</v>
      </c>
      <c r="E182">
        <v>3.68</v>
      </c>
      <c r="F182">
        <v>4</v>
      </c>
      <c r="G182">
        <v>34.65</v>
      </c>
      <c r="H182" s="2">
        <f t="shared" si="13"/>
        <v>0</v>
      </c>
      <c r="I182">
        <f t="shared" si="14"/>
        <v>1</v>
      </c>
      <c r="J182">
        <f t="shared" si="15"/>
        <v>4</v>
      </c>
      <c r="K182">
        <f t="shared" si="16"/>
        <v>1</v>
      </c>
      <c r="L182" s="13">
        <f>Sheet1!$B$17+(Sheet1!$B$18*tips!F182)+(Sheet1!$B$19*tips!G182)+(Sheet1!$B$20*tips!H182)+(Sheet1!$B$21*tips!I182)+(Sheet1!$B$22*tips!J182)+(Sheet1!$B$23*tips!K182)</f>
        <v>4.6277074599721919</v>
      </c>
      <c r="M182" s="13">
        <f t="shared" si="17"/>
        <v>0.94770745997219175</v>
      </c>
      <c r="N182" s="13">
        <f t="shared" si="18"/>
        <v>0.89814942968694345</v>
      </c>
    </row>
    <row r="183" spans="1:14">
      <c r="A183" t="s">
        <v>11</v>
      </c>
      <c r="B183" t="s">
        <v>22</v>
      </c>
      <c r="C183" t="s">
        <v>9</v>
      </c>
      <c r="D183" t="s">
        <v>10</v>
      </c>
      <c r="E183">
        <v>5.65</v>
      </c>
      <c r="F183">
        <v>2</v>
      </c>
      <c r="G183">
        <v>23.33</v>
      </c>
      <c r="H183" s="2">
        <f t="shared" si="13"/>
        <v>0</v>
      </c>
      <c r="I183">
        <f t="shared" si="14"/>
        <v>1</v>
      </c>
      <c r="J183">
        <f t="shared" si="15"/>
        <v>4</v>
      </c>
      <c r="K183">
        <f t="shared" si="16"/>
        <v>1</v>
      </c>
      <c r="L183" s="13">
        <f>Sheet1!$B$17+(Sheet1!$B$18*tips!F183)+(Sheet1!$B$19*tips!G183)+(Sheet1!$B$20*tips!H183)+(Sheet1!$B$21*tips!I183)+(Sheet1!$B$22*tips!J183)+(Sheet1!$B$23*tips!K183)</f>
        <v>3.2107156882419225</v>
      </c>
      <c r="M183" s="13">
        <f t="shared" si="17"/>
        <v>-2.4392843117580778</v>
      </c>
      <c r="N183" s="13">
        <f t="shared" si="18"/>
        <v>5.9501079535890797</v>
      </c>
    </row>
    <row r="184" spans="1:14">
      <c r="A184" t="s">
        <v>11</v>
      </c>
      <c r="B184" t="s">
        <v>22</v>
      </c>
      <c r="C184" t="s">
        <v>9</v>
      </c>
      <c r="D184" t="s">
        <v>10</v>
      </c>
      <c r="E184">
        <v>3.5</v>
      </c>
      <c r="F184">
        <v>3</v>
      </c>
      <c r="G184">
        <v>45.35</v>
      </c>
      <c r="H184" s="2">
        <f t="shared" si="13"/>
        <v>0</v>
      </c>
      <c r="I184">
        <f t="shared" si="14"/>
        <v>1</v>
      </c>
      <c r="J184">
        <f t="shared" si="15"/>
        <v>4</v>
      </c>
      <c r="K184">
        <f t="shared" si="16"/>
        <v>1</v>
      </c>
      <c r="L184" s="13">
        <f>Sheet1!$B$17+(Sheet1!$B$18*tips!F184)+(Sheet1!$B$19*tips!G184)+(Sheet1!$B$20*tips!H184)+(Sheet1!$B$21*tips!I184)+(Sheet1!$B$22*tips!J184)+(Sheet1!$B$23*tips!K184)</f>
        <v>5.4613627385248229</v>
      </c>
      <c r="M184" s="13">
        <f t="shared" si="17"/>
        <v>1.9613627385248229</v>
      </c>
      <c r="N184" s="13">
        <f t="shared" si="18"/>
        <v>3.8469437920735929</v>
      </c>
    </row>
    <row r="185" spans="1:14">
      <c r="A185" t="s">
        <v>11</v>
      </c>
      <c r="B185" t="s">
        <v>22</v>
      </c>
      <c r="C185" t="s">
        <v>9</v>
      </c>
      <c r="D185" t="s">
        <v>10</v>
      </c>
      <c r="E185">
        <v>6.5</v>
      </c>
      <c r="F185">
        <v>4</v>
      </c>
      <c r="G185">
        <v>23.17</v>
      </c>
      <c r="H185" s="2">
        <f t="shared" si="13"/>
        <v>0</v>
      </c>
      <c r="I185">
        <f t="shared" si="14"/>
        <v>1</v>
      </c>
      <c r="J185">
        <f t="shared" si="15"/>
        <v>4</v>
      </c>
      <c r="K185">
        <f t="shared" si="16"/>
        <v>1</v>
      </c>
      <c r="L185" s="13">
        <f>Sheet1!$B$17+(Sheet1!$B$18*tips!F185)+(Sheet1!$B$19*tips!G185)+(Sheet1!$B$20*tips!H185)+(Sheet1!$B$21*tips!I185)+(Sheet1!$B$22*tips!J185)+(Sheet1!$B$23*tips!K185)</f>
        <v>3.5455622663587478</v>
      </c>
      <c r="M185" s="13">
        <f t="shared" si="17"/>
        <v>-2.9544377336412522</v>
      </c>
      <c r="N185" s="13">
        <f t="shared" si="18"/>
        <v>8.728702321963258</v>
      </c>
    </row>
    <row r="186" spans="1:14">
      <c r="A186" t="s">
        <v>11</v>
      </c>
      <c r="B186" t="s">
        <v>22</v>
      </c>
      <c r="C186" t="s">
        <v>9</v>
      </c>
      <c r="D186" t="s">
        <v>10</v>
      </c>
      <c r="E186">
        <v>3</v>
      </c>
      <c r="F186">
        <v>2</v>
      </c>
      <c r="G186">
        <v>40.549999999999997</v>
      </c>
      <c r="H186" s="2">
        <f t="shared" si="13"/>
        <v>0</v>
      </c>
      <c r="I186">
        <f t="shared" si="14"/>
        <v>1</v>
      </c>
      <c r="J186">
        <f t="shared" si="15"/>
        <v>4</v>
      </c>
      <c r="K186">
        <f t="shared" si="16"/>
        <v>1</v>
      </c>
      <c r="L186" s="13">
        <f>Sheet1!$B$17+(Sheet1!$B$18*tips!F186)+(Sheet1!$B$19*tips!G186)+(Sheet1!$B$20*tips!H186)+(Sheet1!$B$21*tips!I186)+(Sheet1!$B$22*tips!J186)+(Sheet1!$B$23*tips!K186)</f>
        <v>4.8339334786620887</v>
      </c>
      <c r="M186" s="13">
        <f t="shared" si="17"/>
        <v>1.8339334786620887</v>
      </c>
      <c r="N186" s="13">
        <f t="shared" si="18"/>
        <v>3.3633120041576294</v>
      </c>
    </row>
    <row r="187" spans="1:14">
      <c r="A187" t="s">
        <v>11</v>
      </c>
      <c r="B187" t="s">
        <v>8</v>
      </c>
      <c r="C187" t="s">
        <v>9</v>
      </c>
      <c r="D187" t="s">
        <v>10</v>
      </c>
      <c r="E187">
        <v>5</v>
      </c>
      <c r="F187">
        <v>5</v>
      </c>
      <c r="G187">
        <v>20.69</v>
      </c>
      <c r="H187" s="2">
        <f t="shared" si="13"/>
        <v>0</v>
      </c>
      <c r="I187">
        <f t="shared" si="14"/>
        <v>0</v>
      </c>
      <c r="J187">
        <f t="shared" si="15"/>
        <v>4</v>
      </c>
      <c r="K187">
        <f t="shared" si="16"/>
        <v>1</v>
      </c>
      <c r="L187" s="13">
        <f>Sheet1!$B$17+(Sheet1!$B$18*tips!F187)+(Sheet1!$B$19*tips!G187)+(Sheet1!$B$20*tips!H187)+(Sheet1!$B$21*tips!I187)+(Sheet1!$B$22*tips!J187)+(Sheet1!$B$23*tips!K187)</f>
        <v>3.5595974415492311</v>
      </c>
      <c r="M187" s="13">
        <f t="shared" si="17"/>
        <v>-1.4404025584507689</v>
      </c>
      <c r="N187" s="13">
        <f t="shared" si="18"/>
        <v>2.0747595303915207</v>
      </c>
    </row>
    <row r="188" spans="1:14">
      <c r="A188" t="s">
        <v>7</v>
      </c>
      <c r="B188" t="s">
        <v>22</v>
      </c>
      <c r="C188" t="s">
        <v>9</v>
      </c>
      <c r="D188" t="s">
        <v>10</v>
      </c>
      <c r="E188">
        <v>3.5</v>
      </c>
      <c r="F188">
        <v>3</v>
      </c>
      <c r="G188">
        <v>20.9</v>
      </c>
      <c r="H188" s="2">
        <f t="shared" si="13"/>
        <v>1</v>
      </c>
      <c r="I188">
        <f t="shared" si="14"/>
        <v>1</v>
      </c>
      <c r="J188">
        <f t="shared" si="15"/>
        <v>4</v>
      </c>
      <c r="K188">
        <f t="shared" si="16"/>
        <v>1</v>
      </c>
      <c r="L188" s="13">
        <f>Sheet1!$B$17+(Sheet1!$B$18*tips!F188)+(Sheet1!$B$19*tips!G188)+(Sheet1!$B$20*tips!H188)+(Sheet1!$B$21*tips!I188)+(Sheet1!$B$22*tips!J188)+(Sheet1!$B$23*tips!K188)</f>
        <v>3.1932522233392153</v>
      </c>
      <c r="M188" s="13">
        <f t="shared" si="17"/>
        <v>-0.30674777666078468</v>
      </c>
      <c r="N188" s="13">
        <f t="shared" si="18"/>
        <v>9.4094198486334643E-2</v>
      </c>
    </row>
    <row r="189" spans="1:14">
      <c r="A189" t="s">
        <v>11</v>
      </c>
      <c r="B189" t="s">
        <v>22</v>
      </c>
      <c r="C189" t="s">
        <v>9</v>
      </c>
      <c r="D189" t="s">
        <v>10</v>
      </c>
      <c r="E189">
        <v>2</v>
      </c>
      <c r="F189">
        <v>5</v>
      </c>
      <c r="G189">
        <v>30.46</v>
      </c>
      <c r="H189" s="2">
        <f t="shared" si="13"/>
        <v>0</v>
      </c>
      <c r="I189">
        <f t="shared" si="14"/>
        <v>1</v>
      </c>
      <c r="J189">
        <f t="shared" si="15"/>
        <v>4</v>
      </c>
      <c r="K189">
        <f t="shared" si="16"/>
        <v>1</v>
      </c>
      <c r="L189" s="13">
        <f>Sheet1!$B$17+(Sheet1!$B$18*tips!F189)+(Sheet1!$B$19*tips!G189)+(Sheet1!$B$20*tips!H189)+(Sheet1!$B$21*tips!I189)+(Sheet1!$B$22*tips!J189)+(Sheet1!$B$23*tips!K189)</f>
        <v>4.407707687554014</v>
      </c>
      <c r="M189" s="13">
        <f t="shared" si="17"/>
        <v>2.407707687554014</v>
      </c>
      <c r="N189" s="13">
        <f t="shared" si="18"/>
        <v>5.7970563087066971</v>
      </c>
    </row>
    <row r="190" spans="1:14">
      <c r="A190" t="s">
        <v>7</v>
      </c>
      <c r="B190" t="s">
        <v>22</v>
      </c>
      <c r="C190" t="s">
        <v>9</v>
      </c>
      <c r="D190" t="s">
        <v>10</v>
      </c>
      <c r="E190">
        <v>3.5</v>
      </c>
      <c r="F190">
        <v>3</v>
      </c>
      <c r="G190">
        <v>18.149999999999999</v>
      </c>
      <c r="H190" s="2">
        <f t="shared" si="13"/>
        <v>1</v>
      </c>
      <c r="I190">
        <f t="shared" si="14"/>
        <v>1</v>
      </c>
      <c r="J190">
        <f t="shared" si="15"/>
        <v>4</v>
      </c>
      <c r="K190">
        <f t="shared" si="16"/>
        <v>1</v>
      </c>
      <c r="L190" s="13">
        <f>Sheet1!$B$17+(Sheet1!$B$18*tips!F190)+(Sheet1!$B$19*tips!G190)+(Sheet1!$B$20*tips!H190)+(Sheet1!$B$21*tips!I190)+(Sheet1!$B$22*tips!J190)+(Sheet1!$B$23*tips!K190)</f>
        <v>2.9340275471687476</v>
      </c>
      <c r="M190" s="13">
        <f t="shared" si="17"/>
        <v>-0.56597245283125241</v>
      </c>
      <c r="N190" s="13">
        <f t="shared" si="18"/>
        <v>0.32032481736382423</v>
      </c>
    </row>
    <row r="191" spans="1:14">
      <c r="A191" t="s">
        <v>11</v>
      </c>
      <c r="B191" t="s">
        <v>22</v>
      </c>
      <c r="C191" t="s">
        <v>9</v>
      </c>
      <c r="D191" t="s">
        <v>10</v>
      </c>
      <c r="E191">
        <v>4</v>
      </c>
      <c r="F191">
        <v>3</v>
      </c>
      <c r="G191">
        <v>23.1</v>
      </c>
      <c r="H191" s="2">
        <f t="shared" si="13"/>
        <v>0</v>
      </c>
      <c r="I191">
        <f t="shared" si="14"/>
        <v>1</v>
      </c>
      <c r="J191">
        <f t="shared" si="15"/>
        <v>4</v>
      </c>
      <c r="K191">
        <f t="shared" si="16"/>
        <v>1</v>
      </c>
      <c r="L191" s="13">
        <f>Sheet1!$B$17+(Sheet1!$B$18*tips!F191)+(Sheet1!$B$19*tips!G191)+(Sheet1!$B$20*tips!H191)+(Sheet1!$B$21*tips!I191)+(Sheet1!$B$22*tips!J191)+(Sheet1!$B$23*tips!K191)</f>
        <v>3.3639994495092189</v>
      </c>
      <c r="M191" s="13">
        <f t="shared" si="17"/>
        <v>-0.63600055049078108</v>
      </c>
      <c r="N191" s="13">
        <f t="shared" si="18"/>
        <v>0.40449670022457657</v>
      </c>
    </row>
    <row r="192" spans="1:14">
      <c r="A192" t="s">
        <v>11</v>
      </c>
      <c r="B192" t="s">
        <v>22</v>
      </c>
      <c r="C192" t="s">
        <v>9</v>
      </c>
      <c r="D192" t="s">
        <v>10</v>
      </c>
      <c r="E192">
        <v>1.5</v>
      </c>
      <c r="F192">
        <v>2</v>
      </c>
      <c r="G192">
        <v>15.69</v>
      </c>
      <c r="H192" s="2">
        <f t="shared" si="13"/>
        <v>0</v>
      </c>
      <c r="I192">
        <f t="shared" si="14"/>
        <v>1</v>
      </c>
      <c r="J192">
        <f t="shared" si="15"/>
        <v>4</v>
      </c>
      <c r="K192">
        <f t="shared" si="16"/>
        <v>1</v>
      </c>
      <c r="L192" s="13">
        <f>Sheet1!$B$17+(Sheet1!$B$18*tips!F192)+(Sheet1!$B$19*tips!G192)+(Sheet1!$B$20*tips!H192)+(Sheet1!$B$21*tips!I192)+(Sheet1!$B$22*tips!J192)+(Sheet1!$B$23*tips!K192)</f>
        <v>2.490542406081059</v>
      </c>
      <c r="M192" s="13">
        <f t="shared" si="17"/>
        <v>0.99054240608105903</v>
      </c>
      <c r="N192" s="13">
        <f t="shared" si="18"/>
        <v>0.9811742582448536</v>
      </c>
    </row>
    <row r="193" spans="1:14">
      <c r="A193" t="s">
        <v>7</v>
      </c>
      <c r="B193" t="s">
        <v>22</v>
      </c>
      <c r="C193" t="s">
        <v>23</v>
      </c>
      <c r="D193" t="s">
        <v>24</v>
      </c>
      <c r="E193">
        <v>4.1900000000000004</v>
      </c>
      <c r="F193">
        <v>2</v>
      </c>
      <c r="G193">
        <v>19.809999999999999</v>
      </c>
      <c r="H193" s="2">
        <f t="shared" si="13"/>
        <v>1</v>
      </c>
      <c r="I193">
        <f t="shared" si="14"/>
        <v>1</v>
      </c>
      <c r="J193">
        <f t="shared" si="15"/>
        <v>1</v>
      </c>
      <c r="K193">
        <f t="shared" si="16"/>
        <v>0</v>
      </c>
      <c r="L193" s="13">
        <f>Sheet1!$B$17+(Sheet1!$B$18*tips!F193)+(Sheet1!$B$19*tips!G193)+(Sheet1!$B$20*tips!H193)+(Sheet1!$B$21*tips!I193)+(Sheet1!$B$22*tips!J193)+(Sheet1!$B$23*tips!K193)</f>
        <v>2.8725309642822778</v>
      </c>
      <c r="M193" s="13">
        <f t="shared" si="17"/>
        <v>-1.3174690357177226</v>
      </c>
      <c r="N193" s="13">
        <f t="shared" si="18"/>
        <v>1.7357246600749858</v>
      </c>
    </row>
    <row r="194" spans="1:14">
      <c r="A194" t="s">
        <v>11</v>
      </c>
      <c r="B194" t="s">
        <v>22</v>
      </c>
      <c r="C194" t="s">
        <v>23</v>
      </c>
      <c r="D194" t="s">
        <v>24</v>
      </c>
      <c r="E194">
        <v>2.56</v>
      </c>
      <c r="F194">
        <v>2</v>
      </c>
      <c r="G194">
        <v>28.44</v>
      </c>
      <c r="H194" s="2">
        <f t="shared" si="13"/>
        <v>0</v>
      </c>
      <c r="I194">
        <f t="shared" si="14"/>
        <v>1</v>
      </c>
      <c r="J194">
        <f t="shared" si="15"/>
        <v>1</v>
      </c>
      <c r="K194">
        <f t="shared" si="16"/>
        <v>0</v>
      </c>
      <c r="L194" s="13">
        <f>Sheet1!$B$17+(Sheet1!$B$18*tips!F194)+(Sheet1!$B$19*tips!G194)+(Sheet1!$B$20*tips!H194)+(Sheet1!$B$21*tips!I194)+(Sheet1!$B$22*tips!J194)+(Sheet1!$B$23*tips!K194)</f>
        <v>3.6493926150981384</v>
      </c>
      <c r="M194" s="13">
        <f t="shared" si="17"/>
        <v>1.0893926150981383</v>
      </c>
      <c r="N194" s="13">
        <f t="shared" si="18"/>
        <v>1.1867762698303606</v>
      </c>
    </row>
    <row r="195" spans="1:14">
      <c r="A195" t="s">
        <v>11</v>
      </c>
      <c r="B195" t="s">
        <v>22</v>
      </c>
      <c r="C195" t="s">
        <v>23</v>
      </c>
      <c r="D195" t="s">
        <v>24</v>
      </c>
      <c r="E195">
        <v>2.02</v>
      </c>
      <c r="F195">
        <v>2</v>
      </c>
      <c r="G195">
        <v>15.48</v>
      </c>
      <c r="H195" s="2">
        <f t="shared" ref="H195:H244" si="19">IF(A195="Female",1,0)</f>
        <v>0</v>
      </c>
      <c r="I195">
        <f t="shared" ref="I195:I244" si="20">IF(B195="yes",1,0)</f>
        <v>1</v>
      </c>
      <c r="J195">
        <f t="shared" ref="J195:J244" si="21">IF(C195="Thur", 1, IF(C195="Fri", 2, IF(C195="Sat", 3, 4)))</f>
        <v>1</v>
      </c>
      <c r="K195">
        <f t="shared" ref="K195:K244" si="22">IF(D195="Dinner",1, 0)</f>
        <v>0</v>
      </c>
      <c r="L195" s="13">
        <f>Sheet1!$B$17+(Sheet1!$B$18*tips!F195)+(Sheet1!$B$19*tips!G195)+(Sheet1!$B$20*tips!H195)+(Sheet1!$B$21*tips!I195)+(Sheet1!$B$22*tips!J195)+(Sheet1!$B$23*tips!K195)</f>
        <v>2.4277374139456787</v>
      </c>
      <c r="M195" s="13">
        <f t="shared" ref="M195:M244" si="23">L195-E195</f>
        <v>0.40773741394567864</v>
      </c>
      <c r="N195" s="13">
        <f t="shared" ref="N195:N244" si="24">M195^2</f>
        <v>0.1662497987311097</v>
      </c>
    </row>
    <row r="196" spans="1:14">
      <c r="A196" t="s">
        <v>11</v>
      </c>
      <c r="B196" t="s">
        <v>22</v>
      </c>
      <c r="C196" t="s">
        <v>23</v>
      </c>
      <c r="D196" t="s">
        <v>24</v>
      </c>
      <c r="E196">
        <v>4</v>
      </c>
      <c r="F196">
        <v>2</v>
      </c>
      <c r="G196">
        <v>16.579999999999998</v>
      </c>
      <c r="H196" s="2">
        <f t="shared" si="19"/>
        <v>0</v>
      </c>
      <c r="I196">
        <f t="shared" si="20"/>
        <v>1</v>
      </c>
      <c r="J196">
        <f t="shared" si="21"/>
        <v>1</v>
      </c>
      <c r="K196">
        <f t="shared" si="22"/>
        <v>0</v>
      </c>
      <c r="L196" s="13">
        <f>Sheet1!$B$17+(Sheet1!$B$18*tips!F196)+(Sheet1!$B$19*tips!G196)+(Sheet1!$B$20*tips!H196)+(Sheet1!$B$21*tips!I196)+(Sheet1!$B$22*tips!J196)+(Sheet1!$B$23*tips!K196)</f>
        <v>2.5314272844138657</v>
      </c>
      <c r="M196" s="13">
        <f t="shared" si="23"/>
        <v>-1.4685727155861343</v>
      </c>
      <c r="N196" s="13">
        <f t="shared" si="24"/>
        <v>2.1567058209640328</v>
      </c>
    </row>
    <row r="197" spans="1:14">
      <c r="A197" t="s">
        <v>11</v>
      </c>
      <c r="B197" t="s">
        <v>8</v>
      </c>
      <c r="C197" t="s">
        <v>23</v>
      </c>
      <c r="D197" t="s">
        <v>24</v>
      </c>
      <c r="E197">
        <v>1.44</v>
      </c>
      <c r="F197">
        <v>2</v>
      </c>
      <c r="G197">
        <v>7.56</v>
      </c>
      <c r="H197" s="2">
        <f t="shared" si="19"/>
        <v>0</v>
      </c>
      <c r="I197">
        <f t="shared" si="20"/>
        <v>0</v>
      </c>
      <c r="J197">
        <f t="shared" si="21"/>
        <v>1</v>
      </c>
      <c r="K197">
        <f t="shared" si="22"/>
        <v>0</v>
      </c>
      <c r="L197" s="13">
        <f>Sheet1!$B$17+(Sheet1!$B$18*tips!F197)+(Sheet1!$B$19*tips!G197)+(Sheet1!$B$20*tips!H197)+(Sheet1!$B$21*tips!I197)+(Sheet1!$B$22*tips!J197)+(Sheet1!$B$23*tips!K197)</f>
        <v>1.7540146773646643</v>
      </c>
      <c r="M197" s="13">
        <f t="shared" si="23"/>
        <v>0.31401467736466437</v>
      </c>
      <c r="N197" s="13">
        <f t="shared" si="24"/>
        <v>9.8605217600434267E-2</v>
      </c>
    </row>
    <row r="198" spans="1:14">
      <c r="A198" t="s">
        <v>11</v>
      </c>
      <c r="B198" t="s">
        <v>22</v>
      </c>
      <c r="C198" t="s">
        <v>23</v>
      </c>
      <c r="D198" t="s">
        <v>24</v>
      </c>
      <c r="E198">
        <v>2</v>
      </c>
      <c r="F198">
        <v>2</v>
      </c>
      <c r="G198">
        <v>10.34</v>
      </c>
      <c r="H198" s="2">
        <f t="shared" si="19"/>
        <v>0</v>
      </c>
      <c r="I198">
        <f t="shared" si="20"/>
        <v>1</v>
      </c>
      <c r="J198">
        <f t="shared" si="21"/>
        <v>1</v>
      </c>
      <c r="K198">
        <f t="shared" si="22"/>
        <v>0</v>
      </c>
      <c r="L198" s="13">
        <f>Sheet1!$B$17+(Sheet1!$B$18*tips!F198)+(Sheet1!$B$19*tips!G198)+(Sheet1!$B$20*tips!H198)+(Sheet1!$B$21*tips!I198)+(Sheet1!$B$22*tips!J198)+(Sheet1!$B$23*tips!K198)</f>
        <v>1.9432229283034221</v>
      </c>
      <c r="M198" s="13">
        <f t="shared" si="23"/>
        <v>-5.6777071696577863E-2</v>
      </c>
      <c r="N198" s="13">
        <f t="shared" si="24"/>
        <v>3.2236358704383432E-3</v>
      </c>
    </row>
    <row r="199" spans="1:14">
      <c r="A199" t="s">
        <v>7</v>
      </c>
      <c r="B199" t="s">
        <v>22</v>
      </c>
      <c r="C199" t="s">
        <v>23</v>
      </c>
      <c r="D199" t="s">
        <v>24</v>
      </c>
      <c r="E199">
        <v>5</v>
      </c>
      <c r="F199">
        <v>4</v>
      </c>
      <c r="G199">
        <v>43.11</v>
      </c>
      <c r="H199" s="2">
        <f t="shared" si="19"/>
        <v>1</v>
      </c>
      <c r="I199">
        <f t="shared" si="20"/>
        <v>1</v>
      </c>
      <c r="J199">
        <f t="shared" si="21"/>
        <v>1</v>
      </c>
      <c r="K199">
        <f t="shared" si="22"/>
        <v>0</v>
      </c>
      <c r="L199" s="13">
        <f>Sheet1!$B$17+(Sheet1!$B$18*tips!F199)+(Sheet1!$B$19*tips!G199)+(Sheet1!$B$20*tips!H199)+(Sheet1!$B$21*tips!I199)+(Sheet1!$B$22*tips!J199)+(Sheet1!$B$23*tips!K199)</f>
        <v>5.4187996889297123</v>
      </c>
      <c r="M199" s="13">
        <f t="shared" si="23"/>
        <v>0.41879968892971231</v>
      </c>
      <c r="N199" s="13">
        <f t="shared" si="24"/>
        <v>0.17539317944762381</v>
      </c>
    </row>
    <row r="200" spans="1:14">
      <c r="A200" t="s">
        <v>7</v>
      </c>
      <c r="B200" t="s">
        <v>22</v>
      </c>
      <c r="C200" t="s">
        <v>23</v>
      </c>
      <c r="D200" t="s">
        <v>24</v>
      </c>
      <c r="E200">
        <v>2</v>
      </c>
      <c r="F200">
        <v>2</v>
      </c>
      <c r="G200">
        <v>13</v>
      </c>
      <c r="H200" s="2">
        <f t="shared" si="19"/>
        <v>1</v>
      </c>
      <c r="I200">
        <f t="shared" si="20"/>
        <v>1</v>
      </c>
      <c r="J200">
        <f t="shared" si="21"/>
        <v>1</v>
      </c>
      <c r="K200">
        <f t="shared" si="22"/>
        <v>0</v>
      </c>
      <c r="L200" s="13">
        <f>Sheet1!$B$17+(Sheet1!$B$18*tips!F200)+(Sheet1!$B$19*tips!G200)+(Sheet1!$B$20*tips!H200)+(Sheet1!$B$21*tips!I200)+(Sheet1!$B$22*tips!J200)+(Sheet1!$B$23*tips!K200)</f>
        <v>2.2305964025655913</v>
      </c>
      <c r="M200" s="13">
        <f t="shared" si="23"/>
        <v>0.23059640256559133</v>
      </c>
      <c r="N200" s="13">
        <f t="shared" si="24"/>
        <v>5.3174700876192256E-2</v>
      </c>
    </row>
    <row r="201" spans="1:14">
      <c r="A201" t="s">
        <v>11</v>
      </c>
      <c r="B201" t="s">
        <v>22</v>
      </c>
      <c r="C201" t="s">
        <v>23</v>
      </c>
      <c r="D201" t="s">
        <v>24</v>
      </c>
      <c r="E201">
        <v>2</v>
      </c>
      <c r="F201">
        <v>2</v>
      </c>
      <c r="G201">
        <v>13.51</v>
      </c>
      <c r="H201" s="2">
        <f t="shared" si="19"/>
        <v>0</v>
      </c>
      <c r="I201">
        <f t="shared" si="20"/>
        <v>1</v>
      </c>
      <c r="J201">
        <f t="shared" si="21"/>
        <v>1</v>
      </c>
      <c r="K201">
        <f t="shared" si="22"/>
        <v>0</v>
      </c>
      <c r="L201" s="13">
        <f>Sheet1!$B$17+(Sheet1!$B$18*tips!F201)+(Sheet1!$B$19*tips!G201)+(Sheet1!$B$20*tips!H201)+(Sheet1!$B$21*tips!I201)+(Sheet1!$B$22*tips!J201)+(Sheet1!$B$23*tips!K201)</f>
        <v>2.2420382822890161</v>
      </c>
      <c r="M201" s="13">
        <f t="shared" si="23"/>
        <v>0.24203828228901614</v>
      </c>
      <c r="N201" s="13">
        <f t="shared" si="24"/>
        <v>5.8582530093417462E-2</v>
      </c>
    </row>
    <row r="202" spans="1:14">
      <c r="A202" t="s">
        <v>11</v>
      </c>
      <c r="B202" t="s">
        <v>22</v>
      </c>
      <c r="C202" t="s">
        <v>23</v>
      </c>
      <c r="D202" t="s">
        <v>24</v>
      </c>
      <c r="E202">
        <v>4</v>
      </c>
      <c r="F202">
        <v>3</v>
      </c>
      <c r="G202">
        <v>18.71</v>
      </c>
      <c r="H202" s="2">
        <f t="shared" si="19"/>
        <v>0</v>
      </c>
      <c r="I202">
        <f t="shared" si="20"/>
        <v>1</v>
      </c>
      <c r="J202">
        <f t="shared" si="21"/>
        <v>1</v>
      </c>
      <c r="K202">
        <f t="shared" si="22"/>
        <v>0</v>
      </c>
      <c r="L202" s="13">
        <f>Sheet1!$B$17+(Sheet1!$B$18*tips!F202)+(Sheet1!$B$19*tips!G202)+(Sheet1!$B$20*tips!H202)+(Sheet1!$B$21*tips!I202)+(Sheet1!$B$22*tips!J202)+(Sheet1!$B$23*tips!K202)</f>
        <v>2.9071729495947274</v>
      </c>
      <c r="M202" s="13">
        <f t="shared" si="23"/>
        <v>-1.0928270504052726</v>
      </c>
      <c r="N202" s="13">
        <f t="shared" si="24"/>
        <v>1.1942709620974883</v>
      </c>
    </row>
    <row r="203" spans="1:14">
      <c r="A203" t="s">
        <v>7</v>
      </c>
      <c r="B203" t="s">
        <v>22</v>
      </c>
      <c r="C203" t="s">
        <v>23</v>
      </c>
      <c r="D203" t="s">
        <v>24</v>
      </c>
      <c r="E203">
        <v>2.0099999999999998</v>
      </c>
      <c r="F203">
        <v>2</v>
      </c>
      <c r="G203">
        <v>12.74</v>
      </c>
      <c r="H203" s="2">
        <f t="shared" si="19"/>
        <v>1</v>
      </c>
      <c r="I203">
        <f t="shared" si="20"/>
        <v>1</v>
      </c>
      <c r="J203">
        <f t="shared" si="21"/>
        <v>1</v>
      </c>
      <c r="K203">
        <f t="shared" si="22"/>
        <v>0</v>
      </c>
      <c r="L203" s="13">
        <f>Sheet1!$B$17+(Sheet1!$B$18*tips!F203)+(Sheet1!$B$19*tips!G203)+(Sheet1!$B$20*tips!H203)+(Sheet1!$B$21*tips!I203)+(Sheet1!$B$22*tips!J203)+(Sheet1!$B$23*tips!K203)</f>
        <v>2.2060878877276564</v>
      </c>
      <c r="M203" s="13">
        <f t="shared" si="23"/>
        <v>0.19608788772765662</v>
      </c>
      <c r="N203" s="13">
        <f t="shared" si="24"/>
        <v>3.8450459713494069E-2</v>
      </c>
    </row>
    <row r="204" spans="1:14">
      <c r="A204" t="s">
        <v>7</v>
      </c>
      <c r="B204" t="s">
        <v>22</v>
      </c>
      <c r="C204" t="s">
        <v>23</v>
      </c>
      <c r="D204" t="s">
        <v>24</v>
      </c>
      <c r="E204">
        <v>2.5</v>
      </c>
      <c r="F204">
        <v>2</v>
      </c>
      <c r="G204">
        <v>16.399999999999999</v>
      </c>
      <c r="H204" s="2">
        <f t="shared" si="19"/>
        <v>1</v>
      </c>
      <c r="I204">
        <f t="shared" si="20"/>
        <v>1</v>
      </c>
      <c r="J204">
        <f t="shared" si="21"/>
        <v>1</v>
      </c>
      <c r="K204">
        <f t="shared" si="22"/>
        <v>0</v>
      </c>
      <c r="L204" s="13">
        <f>Sheet1!$B$17+(Sheet1!$B$18*tips!F204)+(Sheet1!$B$19*tips!G204)+(Sheet1!$B$20*tips!H204)+(Sheet1!$B$21*tips!I204)+(Sheet1!$B$22*tips!J204)+(Sheet1!$B$23*tips!K204)</f>
        <v>2.5510923658308973</v>
      </c>
      <c r="M204" s="13">
        <f t="shared" si="23"/>
        <v>5.1092365830897268E-2</v>
      </c>
      <c r="N204" s="13">
        <f t="shared" si="24"/>
        <v>2.6104298461982387E-3</v>
      </c>
    </row>
    <row r="205" spans="1:14">
      <c r="A205" t="s">
        <v>11</v>
      </c>
      <c r="B205" t="s">
        <v>22</v>
      </c>
      <c r="C205" t="s">
        <v>23</v>
      </c>
      <c r="D205" t="s">
        <v>24</v>
      </c>
      <c r="E205">
        <v>4</v>
      </c>
      <c r="F205">
        <v>4</v>
      </c>
      <c r="G205">
        <v>20.53</v>
      </c>
      <c r="H205" s="2">
        <f t="shared" si="19"/>
        <v>0</v>
      </c>
      <c r="I205">
        <f t="shared" si="20"/>
        <v>1</v>
      </c>
      <c r="J205">
        <f t="shared" si="21"/>
        <v>1</v>
      </c>
      <c r="K205">
        <f t="shared" si="22"/>
        <v>0</v>
      </c>
      <c r="L205" s="13">
        <f>Sheet1!$B$17+(Sheet1!$B$18*tips!F205)+(Sheet1!$B$19*tips!G205)+(Sheet1!$B$20*tips!H205)+(Sheet1!$B$21*tips!I205)+(Sheet1!$B$22*tips!J205)+(Sheet1!$B$23*tips!K205)</f>
        <v>3.2536969240072815</v>
      </c>
      <c r="M205" s="13">
        <f t="shared" si="23"/>
        <v>-0.7463030759927185</v>
      </c>
      <c r="N205" s="13">
        <f t="shared" si="24"/>
        <v>0.55696828123619335</v>
      </c>
    </row>
    <row r="206" spans="1:14">
      <c r="A206" t="s">
        <v>7</v>
      </c>
      <c r="B206" t="s">
        <v>22</v>
      </c>
      <c r="C206" t="s">
        <v>23</v>
      </c>
      <c r="D206" t="s">
        <v>24</v>
      </c>
      <c r="E206">
        <v>3.23</v>
      </c>
      <c r="F206">
        <v>3</v>
      </c>
      <c r="G206">
        <v>16.47</v>
      </c>
      <c r="H206" s="2">
        <f t="shared" si="19"/>
        <v>1</v>
      </c>
      <c r="I206">
        <f t="shared" si="20"/>
        <v>1</v>
      </c>
      <c r="J206">
        <f t="shared" si="21"/>
        <v>1</v>
      </c>
      <c r="K206">
        <f t="shared" si="22"/>
        <v>0</v>
      </c>
      <c r="L206" s="13">
        <f>Sheet1!$B$17+(Sheet1!$B$18*tips!F206)+(Sheet1!$B$19*tips!G206)+(Sheet1!$B$20*tips!H206)+(Sheet1!$B$21*tips!I206)+(Sheet1!$B$22*tips!J206)+(Sheet1!$B$23*tips!K206)</f>
        <v>2.7326551826804262</v>
      </c>
      <c r="M206" s="13">
        <f t="shared" si="23"/>
        <v>-0.49734481731957381</v>
      </c>
      <c r="N206" s="13">
        <f t="shared" si="24"/>
        <v>0.24735186731464023</v>
      </c>
    </row>
    <row r="207" spans="1:14">
      <c r="A207" t="s">
        <v>11</v>
      </c>
      <c r="B207" t="s">
        <v>22</v>
      </c>
      <c r="C207" t="s">
        <v>21</v>
      </c>
      <c r="D207" t="s">
        <v>10</v>
      </c>
      <c r="E207">
        <v>3.41</v>
      </c>
      <c r="F207">
        <v>3</v>
      </c>
      <c r="G207">
        <v>26.59</v>
      </c>
      <c r="H207" s="2">
        <f t="shared" si="19"/>
        <v>0</v>
      </c>
      <c r="I207">
        <f t="shared" si="20"/>
        <v>1</v>
      </c>
      <c r="J207">
        <f t="shared" si="21"/>
        <v>3</v>
      </c>
      <c r="K207">
        <f t="shared" si="22"/>
        <v>1</v>
      </c>
      <c r="L207" s="13">
        <f>Sheet1!$B$17+(Sheet1!$B$18*tips!F207)+(Sheet1!$B$19*tips!G207)+(Sheet1!$B$20*tips!H207)+(Sheet1!$B$21*tips!I207)+(Sheet1!$B$22*tips!J207)+(Sheet1!$B$23*tips!K207)</f>
        <v>3.6399738244662583</v>
      </c>
      <c r="M207" s="13">
        <f t="shared" si="23"/>
        <v>0.22997382446625814</v>
      </c>
      <c r="N207" s="13">
        <f t="shared" si="24"/>
        <v>5.2887959939637311E-2</v>
      </c>
    </row>
    <row r="208" spans="1:14">
      <c r="A208" t="s">
        <v>11</v>
      </c>
      <c r="B208" t="s">
        <v>22</v>
      </c>
      <c r="C208" t="s">
        <v>21</v>
      </c>
      <c r="D208" t="s">
        <v>10</v>
      </c>
      <c r="E208">
        <v>3</v>
      </c>
      <c r="F208">
        <v>4</v>
      </c>
      <c r="G208">
        <v>38.729999999999997</v>
      </c>
      <c r="H208" s="2">
        <f t="shared" si="19"/>
        <v>0</v>
      </c>
      <c r="I208">
        <f t="shared" si="20"/>
        <v>1</v>
      </c>
      <c r="J208">
        <f t="shared" si="21"/>
        <v>3</v>
      </c>
      <c r="K208">
        <f t="shared" si="22"/>
        <v>1</v>
      </c>
      <c r="L208" s="13">
        <f>Sheet1!$B$17+(Sheet1!$B$18*tips!F208)+(Sheet1!$B$19*tips!G208)+(Sheet1!$B$20*tips!H208)+(Sheet1!$B$21*tips!I208)+(Sheet1!$B$22*tips!J208)+(Sheet1!$B$23*tips!K208)</f>
        <v>4.9592973109076235</v>
      </c>
      <c r="M208" s="13">
        <f t="shared" si="23"/>
        <v>1.9592973109076235</v>
      </c>
      <c r="N208" s="13">
        <f t="shared" si="24"/>
        <v>3.8388459525298448</v>
      </c>
    </row>
    <row r="209" spans="1:14">
      <c r="A209" t="s">
        <v>11</v>
      </c>
      <c r="B209" t="s">
        <v>22</v>
      </c>
      <c r="C209" t="s">
        <v>21</v>
      </c>
      <c r="D209" t="s">
        <v>10</v>
      </c>
      <c r="E209">
        <v>2.0299999999999998</v>
      </c>
      <c r="F209">
        <v>2</v>
      </c>
      <c r="G209">
        <v>24.27</v>
      </c>
      <c r="H209" s="2">
        <f t="shared" si="19"/>
        <v>0</v>
      </c>
      <c r="I209">
        <f t="shared" si="20"/>
        <v>1</v>
      </c>
      <c r="J209">
        <f t="shared" si="21"/>
        <v>3</v>
      </c>
      <c r="K209">
        <f t="shared" si="22"/>
        <v>1</v>
      </c>
      <c r="L209" s="13">
        <f>Sheet1!$B$17+(Sheet1!$B$18*tips!F209)+(Sheet1!$B$19*tips!G209)+(Sheet1!$B$20*tips!H209)+(Sheet1!$B$21*tips!I209)+(Sheet1!$B$22*tips!J209)+(Sheet1!$B$23*tips!K209)</f>
        <v>3.2463180907499827</v>
      </c>
      <c r="M209" s="13">
        <f t="shared" si="23"/>
        <v>1.2163180907499829</v>
      </c>
      <c r="N209" s="13">
        <f t="shared" si="24"/>
        <v>1.4794296978856836</v>
      </c>
    </row>
    <row r="210" spans="1:14">
      <c r="A210" t="s">
        <v>7</v>
      </c>
      <c r="B210" t="s">
        <v>22</v>
      </c>
      <c r="C210" t="s">
        <v>21</v>
      </c>
      <c r="D210" t="s">
        <v>10</v>
      </c>
      <c r="E210">
        <v>2.23</v>
      </c>
      <c r="F210">
        <v>2</v>
      </c>
      <c r="G210">
        <v>12.76</v>
      </c>
      <c r="H210" s="2">
        <f t="shared" si="19"/>
        <v>1</v>
      </c>
      <c r="I210">
        <f t="shared" si="20"/>
        <v>1</v>
      </c>
      <c r="J210">
        <f t="shared" si="21"/>
        <v>3</v>
      </c>
      <c r="K210">
        <f t="shared" si="22"/>
        <v>1</v>
      </c>
      <c r="L210" s="13">
        <f>Sheet1!$B$17+(Sheet1!$B$18*tips!F210)+(Sheet1!$B$19*tips!G210)+(Sheet1!$B$20*tips!H210)+(Sheet1!$B$21*tips!I210)+(Sheet1!$B$22*tips!J210)+(Sheet1!$B$23*tips!K210)</f>
        <v>2.1979775063446865</v>
      </c>
      <c r="M210" s="13">
        <f t="shared" si="23"/>
        <v>-3.2022493655313511E-2</v>
      </c>
      <c r="N210" s="13">
        <f t="shared" si="24"/>
        <v>1.025440099904594E-3</v>
      </c>
    </row>
    <row r="211" spans="1:14">
      <c r="A211" t="s">
        <v>11</v>
      </c>
      <c r="B211" t="s">
        <v>22</v>
      </c>
      <c r="C211" t="s">
        <v>21</v>
      </c>
      <c r="D211" t="s">
        <v>10</v>
      </c>
      <c r="E211">
        <v>2</v>
      </c>
      <c r="F211">
        <v>3</v>
      </c>
      <c r="G211">
        <v>30.06</v>
      </c>
      <c r="H211" s="2">
        <f t="shared" si="19"/>
        <v>0</v>
      </c>
      <c r="I211">
        <f t="shared" si="20"/>
        <v>1</v>
      </c>
      <c r="J211">
        <f t="shared" si="21"/>
        <v>3</v>
      </c>
      <c r="K211">
        <f t="shared" si="22"/>
        <v>1</v>
      </c>
      <c r="L211" s="13">
        <f>Sheet1!$B$17+(Sheet1!$B$18*tips!F211)+(Sheet1!$B$19*tips!G211)+(Sheet1!$B$20*tips!H211)+(Sheet1!$B$21*tips!I211)+(Sheet1!$B$22*tips!J211)+(Sheet1!$B$23*tips!K211)</f>
        <v>3.9670682340340857</v>
      </c>
      <c r="M211" s="13">
        <f t="shared" si="23"/>
        <v>1.9670682340340857</v>
      </c>
      <c r="N211" s="13">
        <f t="shared" si="24"/>
        <v>3.8693574373459767</v>
      </c>
    </row>
    <row r="212" spans="1:14">
      <c r="A212" t="s">
        <v>11</v>
      </c>
      <c r="B212" t="s">
        <v>22</v>
      </c>
      <c r="C212" t="s">
        <v>21</v>
      </c>
      <c r="D212" t="s">
        <v>10</v>
      </c>
      <c r="E212">
        <v>5.16</v>
      </c>
      <c r="F212">
        <v>4</v>
      </c>
      <c r="G212">
        <v>25.89</v>
      </c>
      <c r="H212" s="2">
        <f t="shared" si="19"/>
        <v>0</v>
      </c>
      <c r="I212">
        <f t="shared" si="20"/>
        <v>1</v>
      </c>
      <c r="J212">
        <f t="shared" si="21"/>
        <v>3</v>
      </c>
      <c r="K212">
        <f t="shared" si="22"/>
        <v>1</v>
      </c>
      <c r="L212" s="13">
        <f>Sheet1!$B$17+(Sheet1!$B$18*tips!F212)+(Sheet1!$B$19*tips!G212)+(Sheet1!$B$20*tips!H212)+(Sheet1!$B$21*tips!I212)+(Sheet1!$B$22*tips!J212)+(Sheet1!$B$23*tips!K212)</f>
        <v>3.7489537319880566</v>
      </c>
      <c r="M212" s="13">
        <f t="shared" si="23"/>
        <v>-1.4110462680119435</v>
      </c>
      <c r="N212" s="13">
        <f t="shared" si="24"/>
        <v>1.9910515704704337</v>
      </c>
    </row>
    <row r="213" spans="1:14">
      <c r="A213" t="s">
        <v>11</v>
      </c>
      <c r="B213" t="s">
        <v>8</v>
      </c>
      <c r="C213" t="s">
        <v>21</v>
      </c>
      <c r="D213" t="s">
        <v>10</v>
      </c>
      <c r="E213">
        <v>9</v>
      </c>
      <c r="F213">
        <v>4</v>
      </c>
      <c r="G213">
        <v>48.33</v>
      </c>
      <c r="H213" s="2">
        <f t="shared" si="19"/>
        <v>0</v>
      </c>
      <c r="I213">
        <f t="shared" si="20"/>
        <v>0</v>
      </c>
      <c r="J213">
        <f t="shared" si="21"/>
        <v>3</v>
      </c>
      <c r="K213">
        <f t="shared" si="22"/>
        <v>1</v>
      </c>
      <c r="L213" s="13">
        <f>Sheet1!$B$17+(Sheet1!$B$18*tips!F213)+(Sheet1!$B$19*tips!G213)+(Sheet1!$B$20*tips!H213)+(Sheet1!$B$21*tips!I213)+(Sheet1!$B$22*tips!J213)+(Sheet1!$B$23*tips!K213)</f>
        <v>5.9370714203290076</v>
      </c>
      <c r="M213" s="13">
        <f t="shared" si="23"/>
        <v>-3.0629285796709924</v>
      </c>
      <c r="N213" s="13">
        <f t="shared" si="24"/>
        <v>9.3815314841653628</v>
      </c>
    </row>
    <row r="214" spans="1:14">
      <c r="A214" t="s">
        <v>7</v>
      </c>
      <c r="B214" t="s">
        <v>22</v>
      </c>
      <c r="C214" t="s">
        <v>21</v>
      </c>
      <c r="D214" t="s">
        <v>10</v>
      </c>
      <c r="E214">
        <v>2.5</v>
      </c>
      <c r="F214">
        <v>2</v>
      </c>
      <c r="G214">
        <v>13.27</v>
      </c>
      <c r="H214" s="2">
        <f t="shared" si="19"/>
        <v>1</v>
      </c>
      <c r="I214">
        <f t="shared" si="20"/>
        <v>1</v>
      </c>
      <c r="J214">
        <f t="shared" si="21"/>
        <v>3</v>
      </c>
      <c r="K214">
        <f t="shared" si="22"/>
        <v>1</v>
      </c>
      <c r="L214" s="13">
        <f>Sheet1!$B$17+(Sheet1!$B$18*tips!F214)+(Sheet1!$B$19*tips!G214)+(Sheet1!$B$20*tips!H214)+(Sheet1!$B$21*tips!I214)+(Sheet1!$B$22*tips!J214)+(Sheet1!$B$23*tips!K214)</f>
        <v>2.2460519008344821</v>
      </c>
      <c r="M214" s="13">
        <f t="shared" si="23"/>
        <v>-0.25394809916551786</v>
      </c>
      <c r="N214" s="13">
        <f t="shared" si="24"/>
        <v>6.4489637069779698E-2</v>
      </c>
    </row>
    <row r="215" spans="1:14">
      <c r="A215" t="s">
        <v>7</v>
      </c>
      <c r="B215" t="s">
        <v>22</v>
      </c>
      <c r="C215" t="s">
        <v>21</v>
      </c>
      <c r="D215" t="s">
        <v>10</v>
      </c>
      <c r="E215">
        <v>6.5</v>
      </c>
      <c r="F215">
        <v>3</v>
      </c>
      <c r="G215">
        <v>28.17</v>
      </c>
      <c r="H215" s="2">
        <f t="shared" si="19"/>
        <v>1</v>
      </c>
      <c r="I215">
        <f t="shared" si="20"/>
        <v>1</v>
      </c>
      <c r="J215">
        <f t="shared" si="21"/>
        <v>3</v>
      </c>
      <c r="K215">
        <f t="shared" si="22"/>
        <v>1</v>
      </c>
      <c r="L215" s="13">
        <f>Sheet1!$B$17+(Sheet1!$B$18*tips!F215)+(Sheet1!$B$19*tips!G215)+(Sheet1!$B$20*tips!H215)+(Sheet1!$B$21*tips!I215)+(Sheet1!$B$22*tips!J215)+(Sheet1!$B$23*tips!K215)</f>
        <v>3.8255426986323897</v>
      </c>
      <c r="M215" s="13">
        <f t="shared" si="23"/>
        <v>-2.6744573013676103</v>
      </c>
      <c r="N215" s="13">
        <f t="shared" si="24"/>
        <v>7.1527218568385207</v>
      </c>
    </row>
    <row r="216" spans="1:14">
      <c r="A216" t="s">
        <v>7</v>
      </c>
      <c r="B216" t="s">
        <v>22</v>
      </c>
      <c r="C216" t="s">
        <v>21</v>
      </c>
      <c r="D216" t="s">
        <v>10</v>
      </c>
      <c r="E216">
        <v>1.1000000000000001</v>
      </c>
      <c r="F216">
        <v>2</v>
      </c>
      <c r="G216">
        <v>12.9</v>
      </c>
      <c r="H216" s="2">
        <f t="shared" si="19"/>
        <v>1</v>
      </c>
      <c r="I216">
        <f t="shared" si="20"/>
        <v>1</v>
      </c>
      <c r="J216">
        <f t="shared" si="21"/>
        <v>3</v>
      </c>
      <c r="K216">
        <f t="shared" si="22"/>
        <v>1</v>
      </c>
      <c r="L216" s="13">
        <f>Sheet1!$B$17+(Sheet1!$B$18*tips!F216)+(Sheet1!$B$19*tips!G216)+(Sheet1!$B$20*tips!H216)+(Sheet1!$B$21*tips!I216)+(Sheet1!$B$22*tips!J216)+(Sheet1!$B$23*tips!K216)</f>
        <v>2.2111743989497286</v>
      </c>
      <c r="M216" s="13">
        <f t="shared" si="23"/>
        <v>1.1111743989497285</v>
      </c>
      <c r="N216" s="13">
        <f t="shared" si="24"/>
        <v>1.2347085448812902</v>
      </c>
    </row>
    <row r="217" spans="1:14">
      <c r="A217" t="s">
        <v>11</v>
      </c>
      <c r="B217" t="s">
        <v>22</v>
      </c>
      <c r="C217" t="s">
        <v>21</v>
      </c>
      <c r="D217" t="s">
        <v>10</v>
      </c>
      <c r="E217">
        <v>3</v>
      </c>
      <c r="F217">
        <v>5</v>
      </c>
      <c r="G217">
        <v>28.15</v>
      </c>
      <c r="H217" s="2">
        <f t="shared" si="19"/>
        <v>0</v>
      </c>
      <c r="I217">
        <f t="shared" si="20"/>
        <v>1</v>
      </c>
      <c r="J217">
        <f t="shared" si="21"/>
        <v>3</v>
      </c>
      <c r="K217">
        <f t="shared" si="22"/>
        <v>1</v>
      </c>
      <c r="L217" s="13">
        <f>Sheet1!$B$17+(Sheet1!$B$18*tips!F217)+(Sheet1!$B$19*tips!G217)+(Sheet1!$B$20*tips!H217)+(Sheet1!$B$21*tips!I217)+(Sheet1!$B$22*tips!J217)+(Sheet1!$B$23*tips!K217)</f>
        <v>4.1369536545878862</v>
      </c>
      <c r="M217" s="13">
        <f t="shared" si="23"/>
        <v>1.1369536545878862</v>
      </c>
      <c r="N217" s="13">
        <f t="shared" si="24"/>
        <v>1.2926636126807505</v>
      </c>
    </row>
    <row r="218" spans="1:14">
      <c r="A218" t="s">
        <v>11</v>
      </c>
      <c r="B218" t="s">
        <v>22</v>
      </c>
      <c r="C218" t="s">
        <v>21</v>
      </c>
      <c r="D218" t="s">
        <v>10</v>
      </c>
      <c r="E218">
        <v>1.5</v>
      </c>
      <c r="F218">
        <v>2</v>
      </c>
      <c r="G218">
        <v>11.59</v>
      </c>
      <c r="H218" s="2">
        <f t="shared" si="19"/>
        <v>0</v>
      </c>
      <c r="I218">
        <f t="shared" si="20"/>
        <v>1</v>
      </c>
      <c r="J218">
        <f t="shared" si="21"/>
        <v>3</v>
      </c>
      <c r="K218">
        <f t="shared" si="22"/>
        <v>1</v>
      </c>
      <c r="L218" s="13">
        <f>Sheet1!$B$17+(Sheet1!$B$18*tips!F218)+(Sheet1!$B$19*tips!G218)+(Sheet1!$B$20*tips!H218)+(Sheet1!$B$21*tips!I218)+(Sheet1!$B$22*tips!J218)+(Sheet1!$B$23*tips!K218)</f>
        <v>2.0510566748076071</v>
      </c>
      <c r="M218" s="13">
        <f t="shared" si="23"/>
        <v>0.55105667480760712</v>
      </c>
      <c r="N218" s="13">
        <f t="shared" si="24"/>
        <v>0.30366345885001683</v>
      </c>
    </row>
    <row r="219" spans="1:14">
      <c r="A219" t="s">
        <v>11</v>
      </c>
      <c r="B219" t="s">
        <v>22</v>
      </c>
      <c r="C219" t="s">
        <v>21</v>
      </c>
      <c r="D219" t="s">
        <v>10</v>
      </c>
      <c r="E219">
        <v>1.44</v>
      </c>
      <c r="F219">
        <v>2</v>
      </c>
      <c r="G219">
        <v>7.74</v>
      </c>
      <c r="H219" s="2">
        <f t="shared" si="19"/>
        <v>0</v>
      </c>
      <c r="I219">
        <f t="shared" si="20"/>
        <v>1</v>
      </c>
      <c r="J219">
        <f t="shared" si="21"/>
        <v>3</v>
      </c>
      <c r="K219">
        <f t="shared" si="22"/>
        <v>1</v>
      </c>
      <c r="L219" s="13">
        <f>Sheet1!$B$17+(Sheet1!$B$18*tips!F219)+(Sheet1!$B$19*tips!G219)+(Sheet1!$B$20*tips!H219)+(Sheet1!$B$21*tips!I219)+(Sheet1!$B$22*tips!J219)+(Sheet1!$B$23*tips!K219)</f>
        <v>1.6881421281689521</v>
      </c>
      <c r="M219" s="13">
        <f t="shared" si="23"/>
        <v>0.2481421281689522</v>
      </c>
      <c r="N219" s="13">
        <f t="shared" si="24"/>
        <v>6.1574515772216704E-2</v>
      </c>
    </row>
    <row r="220" spans="1:14">
      <c r="A220" t="s">
        <v>7</v>
      </c>
      <c r="B220" t="s">
        <v>22</v>
      </c>
      <c r="C220" t="s">
        <v>21</v>
      </c>
      <c r="D220" t="s">
        <v>10</v>
      </c>
      <c r="E220">
        <v>3.09</v>
      </c>
      <c r="F220">
        <v>4</v>
      </c>
      <c r="G220">
        <v>30.14</v>
      </c>
      <c r="H220" s="2">
        <f t="shared" si="19"/>
        <v>1</v>
      </c>
      <c r="I220">
        <f t="shared" si="20"/>
        <v>1</v>
      </c>
      <c r="J220">
        <f t="shared" si="21"/>
        <v>3</v>
      </c>
      <c r="K220">
        <f t="shared" si="22"/>
        <v>1</v>
      </c>
      <c r="L220" s="13">
        <f>Sheet1!$B$17+(Sheet1!$B$18*tips!F220)+(Sheet1!$B$19*tips!G220)+(Sheet1!$B$20*tips!H220)+(Sheet1!$B$21*tips!I220)+(Sheet1!$B$22*tips!J220)+(Sheet1!$B$23*tips!K220)</f>
        <v>4.1862062008360601</v>
      </c>
      <c r="M220" s="13">
        <f t="shared" si="23"/>
        <v>1.0962062008360602</v>
      </c>
      <c r="N220" s="13">
        <f t="shared" si="24"/>
        <v>1.2016680347514288</v>
      </c>
    </row>
    <row r="221" spans="1:14">
      <c r="A221" t="s">
        <v>11</v>
      </c>
      <c r="B221" t="s">
        <v>22</v>
      </c>
      <c r="C221" t="s">
        <v>25</v>
      </c>
      <c r="D221" t="s">
        <v>24</v>
      </c>
      <c r="E221">
        <v>2.2000000000000002</v>
      </c>
      <c r="F221">
        <v>2</v>
      </c>
      <c r="G221">
        <v>12.16</v>
      </c>
      <c r="H221" s="2">
        <f t="shared" si="19"/>
        <v>0</v>
      </c>
      <c r="I221">
        <f t="shared" si="20"/>
        <v>1</v>
      </c>
      <c r="J221">
        <f t="shared" si="21"/>
        <v>2</v>
      </c>
      <c r="K221">
        <f t="shared" si="22"/>
        <v>0</v>
      </c>
      <c r="L221" s="13">
        <f>Sheet1!$B$17+(Sheet1!$B$18*tips!F221)+(Sheet1!$B$19*tips!G221)+(Sheet1!$B$20*tips!H221)+(Sheet1!$B$21*tips!I221)+(Sheet1!$B$22*tips!J221)+(Sheet1!$B$23*tips!K221)</f>
        <v>2.1677878371519044</v>
      </c>
      <c r="M221" s="13">
        <f t="shared" si="23"/>
        <v>-3.2212162848095804E-2</v>
      </c>
      <c r="N221" s="13">
        <f t="shared" si="24"/>
        <v>1.0376234353522435E-3</v>
      </c>
    </row>
    <row r="222" spans="1:14">
      <c r="A222" t="s">
        <v>7</v>
      </c>
      <c r="B222" t="s">
        <v>22</v>
      </c>
      <c r="C222" t="s">
        <v>25</v>
      </c>
      <c r="D222" t="s">
        <v>24</v>
      </c>
      <c r="E222">
        <v>3.48</v>
      </c>
      <c r="F222">
        <v>2</v>
      </c>
      <c r="G222">
        <v>13.42</v>
      </c>
      <c r="H222" s="2">
        <f t="shared" si="19"/>
        <v>1</v>
      </c>
      <c r="I222">
        <f t="shared" si="20"/>
        <v>1</v>
      </c>
      <c r="J222">
        <f t="shared" si="21"/>
        <v>2</v>
      </c>
      <c r="K222">
        <f t="shared" si="22"/>
        <v>0</v>
      </c>
      <c r="L222" s="13">
        <f>Sheet1!$B$17+(Sheet1!$B$18*tips!F222)+(Sheet1!$B$19*tips!G222)+(Sheet1!$B$20*tips!H222)+(Sheet1!$B$21*tips!I222)+(Sheet1!$B$22*tips!J222)+(Sheet1!$B$23*tips!K222)</f>
        <v>2.3231923853636536</v>
      </c>
      <c r="M222" s="13">
        <f t="shared" si="23"/>
        <v>-1.1568076146363464</v>
      </c>
      <c r="N222" s="13">
        <f t="shared" si="24"/>
        <v>1.3382038572806336</v>
      </c>
    </row>
    <row r="223" spans="1:14">
      <c r="A223" t="s">
        <v>11</v>
      </c>
      <c r="B223" t="s">
        <v>22</v>
      </c>
      <c r="C223" t="s">
        <v>25</v>
      </c>
      <c r="D223" t="s">
        <v>24</v>
      </c>
      <c r="E223">
        <v>1.92</v>
      </c>
      <c r="F223">
        <v>1</v>
      </c>
      <c r="G223">
        <v>8.58</v>
      </c>
      <c r="H223" s="2">
        <f t="shared" si="19"/>
        <v>0</v>
      </c>
      <c r="I223">
        <f t="shared" si="20"/>
        <v>1</v>
      </c>
      <c r="J223">
        <f t="shared" si="21"/>
        <v>2</v>
      </c>
      <c r="K223">
        <f t="shared" si="22"/>
        <v>0</v>
      </c>
      <c r="L223" s="13">
        <f>Sheet1!$B$17+(Sheet1!$B$18*tips!F223)+(Sheet1!$B$19*tips!G223)+(Sheet1!$B$20*tips!H223)+(Sheet1!$B$21*tips!I223)+(Sheet1!$B$22*tips!J223)+(Sheet1!$B$23*tips!K223)</f>
        <v>1.6553600699902502</v>
      </c>
      <c r="M223" s="13">
        <f t="shared" si="23"/>
        <v>-0.26463993000974972</v>
      </c>
      <c r="N223" s="13">
        <f t="shared" si="24"/>
        <v>7.0034292555565231E-2</v>
      </c>
    </row>
    <row r="224" spans="1:14">
      <c r="A224" t="s">
        <v>7</v>
      </c>
      <c r="B224" t="s">
        <v>8</v>
      </c>
      <c r="C224" t="s">
        <v>25</v>
      </c>
      <c r="D224" t="s">
        <v>24</v>
      </c>
      <c r="E224">
        <v>3</v>
      </c>
      <c r="F224">
        <v>3</v>
      </c>
      <c r="G224">
        <v>15.98</v>
      </c>
      <c r="H224" s="2">
        <f t="shared" si="19"/>
        <v>1</v>
      </c>
      <c r="I224">
        <f t="shared" si="20"/>
        <v>0</v>
      </c>
      <c r="J224">
        <f t="shared" si="21"/>
        <v>2</v>
      </c>
      <c r="K224">
        <f t="shared" si="22"/>
        <v>0</v>
      </c>
      <c r="L224" s="13">
        <f>Sheet1!$B$17+(Sheet1!$B$18*tips!F224)+(Sheet1!$B$19*tips!G224)+(Sheet1!$B$20*tips!H224)+(Sheet1!$B$21*tips!I224)+(Sheet1!$B$22*tips!J224)+(Sheet1!$B$23*tips!K224)</f>
        <v>2.8123156943356484</v>
      </c>
      <c r="M224" s="13">
        <f t="shared" si="23"/>
        <v>-0.18768430566435157</v>
      </c>
      <c r="N224" s="13">
        <f t="shared" si="24"/>
        <v>3.5225398592709747E-2</v>
      </c>
    </row>
    <row r="225" spans="1:14">
      <c r="A225" t="s">
        <v>11</v>
      </c>
      <c r="B225" t="s">
        <v>22</v>
      </c>
      <c r="C225" t="s">
        <v>25</v>
      </c>
      <c r="D225" t="s">
        <v>24</v>
      </c>
      <c r="E225">
        <v>1.58</v>
      </c>
      <c r="F225">
        <v>2</v>
      </c>
      <c r="G225">
        <v>13.42</v>
      </c>
      <c r="H225" s="2">
        <f t="shared" si="19"/>
        <v>0</v>
      </c>
      <c r="I225">
        <f t="shared" si="20"/>
        <v>1</v>
      </c>
      <c r="J225">
        <f t="shared" si="21"/>
        <v>2</v>
      </c>
      <c r="K225">
        <f t="shared" si="22"/>
        <v>0</v>
      </c>
      <c r="L225" s="13">
        <f>Sheet1!$B$17+(Sheet1!$B$18*tips!F225)+(Sheet1!$B$19*tips!G225)+(Sheet1!$B$20*tips!H225)+(Sheet1!$B$21*tips!I225)+(Sheet1!$B$22*tips!J225)+(Sheet1!$B$23*tips!K225)</f>
        <v>2.2865598705972823</v>
      </c>
      <c r="M225" s="13">
        <f t="shared" si="23"/>
        <v>0.7065598705972822</v>
      </c>
      <c r="N225" s="13">
        <f t="shared" si="24"/>
        <v>0.49922685073844819</v>
      </c>
    </row>
    <row r="226" spans="1:14">
      <c r="A226" t="s">
        <v>7</v>
      </c>
      <c r="B226" t="s">
        <v>22</v>
      </c>
      <c r="C226" t="s">
        <v>25</v>
      </c>
      <c r="D226" t="s">
        <v>24</v>
      </c>
      <c r="E226">
        <v>2.5</v>
      </c>
      <c r="F226">
        <v>2</v>
      </c>
      <c r="G226">
        <v>16.27</v>
      </c>
      <c r="H226" s="2">
        <f t="shared" si="19"/>
        <v>1</v>
      </c>
      <c r="I226">
        <f t="shared" si="20"/>
        <v>1</v>
      </c>
      <c r="J226">
        <f t="shared" si="21"/>
        <v>2</v>
      </c>
      <c r="K226">
        <f t="shared" si="22"/>
        <v>0</v>
      </c>
      <c r="L226" s="13">
        <f>Sheet1!$B$17+(Sheet1!$B$18*tips!F226)+(Sheet1!$B$19*tips!G226)+(Sheet1!$B$20*tips!H226)+(Sheet1!$B$21*tips!I226)+(Sheet1!$B$22*tips!J226)+(Sheet1!$B$23*tips!K226)</f>
        <v>2.5918434133948658</v>
      </c>
      <c r="M226" s="13">
        <f t="shared" si="23"/>
        <v>9.1843413394865792E-2</v>
      </c>
      <c r="N226" s="13">
        <f t="shared" si="24"/>
        <v>8.4352125840202134E-3</v>
      </c>
    </row>
    <row r="227" spans="1:14">
      <c r="A227" t="s">
        <v>7</v>
      </c>
      <c r="B227" t="s">
        <v>22</v>
      </c>
      <c r="C227" t="s">
        <v>25</v>
      </c>
      <c r="D227" t="s">
        <v>24</v>
      </c>
      <c r="E227">
        <v>2</v>
      </c>
      <c r="F227">
        <v>2</v>
      </c>
      <c r="G227">
        <v>10.09</v>
      </c>
      <c r="H227" s="2">
        <f t="shared" si="19"/>
        <v>1</v>
      </c>
      <c r="I227">
        <f t="shared" si="20"/>
        <v>1</v>
      </c>
      <c r="J227">
        <f t="shared" si="21"/>
        <v>2</v>
      </c>
      <c r="K227">
        <f t="shared" si="22"/>
        <v>0</v>
      </c>
      <c r="L227" s="13">
        <f>Sheet1!$B$17+(Sheet1!$B$18*tips!F227)+(Sheet1!$B$19*tips!G227)+(Sheet1!$B$20*tips!H227)+(Sheet1!$B$21*tips!I227)+(Sheet1!$B$22*tips!J227)+(Sheet1!$B$23*tips!K227)</f>
        <v>2.0092948684008682</v>
      </c>
      <c r="M227" s="13">
        <f t="shared" si="23"/>
        <v>9.2948684008682392E-3</v>
      </c>
      <c r="N227" s="13">
        <f t="shared" si="24"/>
        <v>8.6394578589458896E-5</v>
      </c>
    </row>
    <row r="228" spans="1:14">
      <c r="A228" t="s">
        <v>11</v>
      </c>
      <c r="B228" t="s">
        <v>8</v>
      </c>
      <c r="C228" t="s">
        <v>21</v>
      </c>
      <c r="D228" t="s">
        <v>10</v>
      </c>
      <c r="E228">
        <v>3</v>
      </c>
      <c r="F228">
        <v>4</v>
      </c>
      <c r="G228">
        <v>20.45</v>
      </c>
      <c r="H228" s="2">
        <f t="shared" si="19"/>
        <v>0</v>
      </c>
      <c r="I228">
        <f t="shared" si="20"/>
        <v>0</v>
      </c>
      <c r="J228">
        <f t="shared" si="21"/>
        <v>3</v>
      </c>
      <c r="K228">
        <f t="shared" si="22"/>
        <v>1</v>
      </c>
      <c r="L228" s="13">
        <f>Sheet1!$B$17+(Sheet1!$B$18*tips!F228)+(Sheet1!$B$19*tips!G228)+(Sheet1!$B$20*tips!H228)+(Sheet1!$B$21*tips!I228)+(Sheet1!$B$22*tips!J228)+(Sheet1!$B$23*tips!K228)</f>
        <v>3.3090045215535002</v>
      </c>
      <c r="M228" s="13">
        <f t="shared" si="23"/>
        <v>0.30900452155350022</v>
      </c>
      <c r="N228" s="13">
        <f t="shared" si="24"/>
        <v>9.5483794340507577E-2</v>
      </c>
    </row>
    <row r="229" spans="1:14">
      <c r="A229" t="s">
        <v>11</v>
      </c>
      <c r="B229" t="s">
        <v>8</v>
      </c>
      <c r="C229" t="s">
        <v>21</v>
      </c>
      <c r="D229" t="s">
        <v>10</v>
      </c>
      <c r="E229">
        <v>2.72</v>
      </c>
      <c r="F229">
        <v>2</v>
      </c>
      <c r="G229">
        <v>13.28</v>
      </c>
      <c r="H229" s="2">
        <f t="shared" si="19"/>
        <v>0</v>
      </c>
      <c r="I229">
        <f t="shared" si="20"/>
        <v>0</v>
      </c>
      <c r="J229">
        <f t="shared" si="21"/>
        <v>3</v>
      </c>
      <c r="K229">
        <f t="shared" si="22"/>
        <v>1</v>
      </c>
      <c r="L229" s="13">
        <f>Sheet1!$B$17+(Sheet1!$B$18*tips!F229)+(Sheet1!$B$19*tips!G229)+(Sheet1!$B$20*tips!H229)+(Sheet1!$B$21*tips!I229)+(Sheet1!$B$22*tips!J229)+(Sheet1!$B$23*tips!K229)</f>
        <v>2.2832063520441186</v>
      </c>
      <c r="M229" s="13">
        <f t="shared" si="23"/>
        <v>-0.4367936479558816</v>
      </c>
      <c r="N229" s="13">
        <f t="shared" si="24"/>
        <v>0.19078869089460662</v>
      </c>
    </row>
    <row r="230" spans="1:14">
      <c r="A230" t="s">
        <v>7</v>
      </c>
      <c r="B230" t="s">
        <v>22</v>
      </c>
      <c r="C230" t="s">
        <v>21</v>
      </c>
      <c r="D230" t="s">
        <v>10</v>
      </c>
      <c r="E230">
        <v>2.88</v>
      </c>
      <c r="F230">
        <v>2</v>
      </c>
      <c r="G230">
        <v>22.12</v>
      </c>
      <c r="H230" s="2">
        <f t="shared" si="19"/>
        <v>1</v>
      </c>
      <c r="I230">
        <f t="shared" si="20"/>
        <v>1</v>
      </c>
      <c r="J230">
        <f t="shared" si="21"/>
        <v>3</v>
      </c>
      <c r="K230">
        <f t="shared" si="22"/>
        <v>1</v>
      </c>
      <c r="L230" s="13">
        <f>Sheet1!$B$17+(Sheet1!$B$18*tips!F230)+(Sheet1!$B$19*tips!G230)+(Sheet1!$B$20*tips!H230)+(Sheet1!$B$21*tips!I230)+(Sheet1!$B$22*tips!J230)+(Sheet1!$B$23*tips!K230)</f>
        <v>3.0802840405103522</v>
      </c>
      <c r="M230" s="13">
        <f t="shared" si="23"/>
        <v>0.20028404051035231</v>
      </c>
      <c r="N230" s="13">
        <f t="shared" si="24"/>
        <v>4.0113696883152444E-2</v>
      </c>
    </row>
    <row r="231" spans="1:14">
      <c r="A231" t="s">
        <v>11</v>
      </c>
      <c r="B231" t="s">
        <v>22</v>
      </c>
      <c r="C231" t="s">
        <v>21</v>
      </c>
      <c r="D231" t="s">
        <v>10</v>
      </c>
      <c r="E231">
        <v>2</v>
      </c>
      <c r="F231">
        <v>4</v>
      </c>
      <c r="G231">
        <v>24.01</v>
      </c>
      <c r="H231" s="2">
        <f t="shared" si="19"/>
        <v>0</v>
      </c>
      <c r="I231">
        <f t="shared" si="20"/>
        <v>1</v>
      </c>
      <c r="J231">
        <f t="shared" si="21"/>
        <v>3</v>
      </c>
      <c r="K231">
        <f t="shared" si="22"/>
        <v>1</v>
      </c>
      <c r="L231" s="13">
        <f>Sheet1!$B$17+(Sheet1!$B$18*tips!F231)+(Sheet1!$B$19*tips!G231)+(Sheet1!$B$20*tips!H231)+(Sheet1!$B$21*tips!I231)+(Sheet1!$B$22*tips!J231)+(Sheet1!$B$23*tips!K231)</f>
        <v>3.5717383170060644</v>
      </c>
      <c r="M231" s="13">
        <f t="shared" si="23"/>
        <v>1.5717383170060644</v>
      </c>
      <c r="N231" s="13">
        <f t="shared" si="24"/>
        <v>2.4703613371450559</v>
      </c>
    </row>
    <row r="232" spans="1:14">
      <c r="A232" t="s">
        <v>11</v>
      </c>
      <c r="B232" t="s">
        <v>22</v>
      </c>
      <c r="C232" t="s">
        <v>21</v>
      </c>
      <c r="D232" t="s">
        <v>10</v>
      </c>
      <c r="E232">
        <v>3</v>
      </c>
      <c r="F232">
        <v>3</v>
      </c>
      <c r="G232">
        <v>15.69</v>
      </c>
      <c r="H232" s="2">
        <f t="shared" si="19"/>
        <v>0</v>
      </c>
      <c r="I232">
        <f t="shared" si="20"/>
        <v>1</v>
      </c>
      <c r="J232">
        <f t="shared" si="21"/>
        <v>3</v>
      </c>
      <c r="K232">
        <f t="shared" si="22"/>
        <v>1</v>
      </c>
      <c r="L232" s="13">
        <f>Sheet1!$B$17+(Sheet1!$B$18*tips!F232)+(Sheet1!$B$19*tips!G232)+(Sheet1!$B$20*tips!H232)+(Sheet1!$B$21*tips!I232)+(Sheet1!$B$22*tips!J232)+(Sheet1!$B$23*tips!K232)</f>
        <v>2.6125014716451309</v>
      </c>
      <c r="M232" s="13">
        <f t="shared" si="23"/>
        <v>-0.38749852835486909</v>
      </c>
      <c r="N232" s="13">
        <f t="shared" si="24"/>
        <v>0.15015510947718927</v>
      </c>
    </row>
    <row r="233" spans="1:14">
      <c r="A233" t="s">
        <v>11</v>
      </c>
      <c r="B233" t="s">
        <v>8</v>
      </c>
      <c r="C233" t="s">
        <v>21</v>
      </c>
      <c r="D233" t="s">
        <v>10</v>
      </c>
      <c r="E233">
        <v>3.39</v>
      </c>
      <c r="F233">
        <v>2</v>
      </c>
      <c r="G233">
        <v>11.61</v>
      </c>
      <c r="H233" s="2">
        <f t="shared" si="19"/>
        <v>0</v>
      </c>
      <c r="I233">
        <f t="shared" si="20"/>
        <v>0</v>
      </c>
      <c r="J233">
        <f t="shared" si="21"/>
        <v>3</v>
      </c>
      <c r="K233">
        <f t="shared" si="22"/>
        <v>1</v>
      </c>
      <c r="L233" s="13">
        <f>Sheet1!$B$17+(Sheet1!$B$18*tips!F233)+(Sheet1!$B$19*tips!G233)+(Sheet1!$B$20*tips!H233)+(Sheet1!$B$21*tips!I233)+(Sheet1!$B$22*tips!J233)+(Sheet1!$B$23*tips!K233)</f>
        <v>2.1257862759696891</v>
      </c>
      <c r="M233" s="13">
        <f t="shared" si="23"/>
        <v>-1.2642137240303111</v>
      </c>
      <c r="N233" s="13">
        <f t="shared" si="24"/>
        <v>1.5982363400265875</v>
      </c>
    </row>
    <row r="234" spans="1:14">
      <c r="A234" t="s">
        <v>11</v>
      </c>
      <c r="B234" t="s">
        <v>8</v>
      </c>
      <c r="C234" t="s">
        <v>21</v>
      </c>
      <c r="D234" t="s">
        <v>10</v>
      </c>
      <c r="E234">
        <v>1.47</v>
      </c>
      <c r="F234">
        <v>2</v>
      </c>
      <c r="G234">
        <v>10.77</v>
      </c>
      <c r="H234" s="2">
        <f t="shared" si="19"/>
        <v>0</v>
      </c>
      <c r="I234">
        <f t="shared" si="20"/>
        <v>0</v>
      </c>
      <c r="J234">
        <f t="shared" si="21"/>
        <v>3</v>
      </c>
      <c r="K234">
        <f t="shared" si="22"/>
        <v>1</v>
      </c>
      <c r="L234" s="13">
        <f>Sheet1!$B$17+(Sheet1!$B$18*tips!F234)+(Sheet1!$B$19*tips!G234)+(Sheet1!$B$20*tips!H234)+(Sheet1!$B$21*tips!I234)+(Sheet1!$B$22*tips!J234)+(Sheet1!$B$23*tips!K234)</f>
        <v>2.046604920339437</v>
      </c>
      <c r="M234" s="13">
        <f t="shared" si="23"/>
        <v>0.576604920339437</v>
      </c>
      <c r="N234" s="13">
        <f t="shared" si="24"/>
        <v>0.33247323415964847</v>
      </c>
    </row>
    <row r="235" spans="1:14">
      <c r="A235" t="s">
        <v>11</v>
      </c>
      <c r="B235" t="s">
        <v>22</v>
      </c>
      <c r="C235" t="s">
        <v>21</v>
      </c>
      <c r="D235" t="s">
        <v>10</v>
      </c>
      <c r="E235">
        <v>3</v>
      </c>
      <c r="F235">
        <v>2</v>
      </c>
      <c r="G235">
        <v>15.53</v>
      </c>
      <c r="H235" s="2">
        <f t="shared" si="19"/>
        <v>0</v>
      </c>
      <c r="I235">
        <f t="shared" si="20"/>
        <v>1</v>
      </c>
      <c r="J235">
        <f t="shared" si="21"/>
        <v>3</v>
      </c>
      <c r="K235">
        <f t="shared" si="22"/>
        <v>1</v>
      </c>
      <c r="L235" s="13">
        <f>Sheet1!$B$17+(Sheet1!$B$18*tips!F235)+(Sheet1!$B$19*tips!G235)+(Sheet1!$B$20*tips!H235)+(Sheet1!$B$21*tips!I235)+(Sheet1!$B$22*tips!J235)+(Sheet1!$B$23*tips!K235)</f>
        <v>2.4224549381209317</v>
      </c>
      <c r="M235" s="13">
        <f t="shared" si="23"/>
        <v>-0.57754506187906829</v>
      </c>
      <c r="N235" s="13">
        <f t="shared" si="24"/>
        <v>0.3335582985008968</v>
      </c>
    </row>
    <row r="236" spans="1:14">
      <c r="A236" t="s">
        <v>11</v>
      </c>
      <c r="B236" t="s">
        <v>8</v>
      </c>
      <c r="C236" t="s">
        <v>21</v>
      </c>
      <c r="D236" t="s">
        <v>10</v>
      </c>
      <c r="E236">
        <v>1.25</v>
      </c>
      <c r="F236">
        <v>2</v>
      </c>
      <c r="G236">
        <v>10.07</v>
      </c>
      <c r="H236" s="2">
        <f t="shared" si="19"/>
        <v>0</v>
      </c>
      <c r="I236">
        <f t="shared" si="20"/>
        <v>0</v>
      </c>
      <c r="J236">
        <f t="shared" si="21"/>
        <v>3</v>
      </c>
      <c r="K236">
        <f t="shared" si="22"/>
        <v>1</v>
      </c>
      <c r="L236" s="13">
        <f>Sheet1!$B$17+(Sheet1!$B$18*tips!F236)+(Sheet1!$B$19*tips!G236)+(Sheet1!$B$20*tips!H236)+(Sheet1!$B$21*tips!I236)+(Sheet1!$B$22*tips!J236)+(Sheet1!$B$23*tips!K236)</f>
        <v>1.9806204573142272</v>
      </c>
      <c r="M236" s="13">
        <f t="shared" si="23"/>
        <v>0.7306204573142272</v>
      </c>
      <c r="N236" s="13">
        <f t="shared" si="24"/>
        <v>0.53380625264605053</v>
      </c>
    </row>
    <row r="237" spans="1:14">
      <c r="A237" t="s">
        <v>11</v>
      </c>
      <c r="B237" t="s">
        <v>22</v>
      </c>
      <c r="C237" t="s">
        <v>21</v>
      </c>
      <c r="D237" t="s">
        <v>10</v>
      </c>
      <c r="E237">
        <v>1</v>
      </c>
      <c r="F237">
        <v>2</v>
      </c>
      <c r="G237">
        <v>12.6</v>
      </c>
      <c r="H237" s="2">
        <f t="shared" si="19"/>
        <v>0</v>
      </c>
      <c r="I237">
        <f t="shared" si="20"/>
        <v>1</v>
      </c>
      <c r="J237">
        <f t="shared" si="21"/>
        <v>3</v>
      </c>
      <c r="K237">
        <f t="shared" si="22"/>
        <v>1</v>
      </c>
      <c r="L237" s="13">
        <f>Sheet1!$B$17+(Sheet1!$B$18*tips!F237)+(Sheet1!$B$19*tips!G237)+(Sheet1!$B$20*tips!H237)+(Sheet1!$B$21*tips!I237)+(Sheet1!$B$22*tips!J237)+(Sheet1!$B$23*tips!K237)</f>
        <v>2.1462628286011243</v>
      </c>
      <c r="M237" s="13">
        <f t="shared" si="23"/>
        <v>1.1462628286011243</v>
      </c>
      <c r="N237" s="13">
        <f t="shared" si="24"/>
        <v>1.3139184722326505</v>
      </c>
    </row>
    <row r="238" spans="1:14">
      <c r="A238" t="s">
        <v>11</v>
      </c>
      <c r="B238" t="s">
        <v>22</v>
      </c>
      <c r="C238" t="s">
        <v>21</v>
      </c>
      <c r="D238" t="s">
        <v>10</v>
      </c>
      <c r="E238">
        <v>1.17</v>
      </c>
      <c r="F238">
        <v>2</v>
      </c>
      <c r="G238">
        <v>32.83</v>
      </c>
      <c r="H238" s="2">
        <f t="shared" si="19"/>
        <v>0</v>
      </c>
      <c r="I238">
        <f t="shared" si="20"/>
        <v>1</v>
      </c>
      <c r="J238">
        <f t="shared" si="21"/>
        <v>3</v>
      </c>
      <c r="K238">
        <f t="shared" si="22"/>
        <v>1</v>
      </c>
      <c r="L238" s="13">
        <f>Sheet1!$B$17+(Sheet1!$B$18*tips!F238)+(Sheet1!$B$19*tips!G238)+(Sheet1!$B$20*tips!H238)+(Sheet1!$B$21*tips!I238)+(Sheet1!$B$22*tips!J238)+(Sheet1!$B$23*tips!K238)</f>
        <v>4.0532138100296944</v>
      </c>
      <c r="M238" s="13">
        <f t="shared" si="23"/>
        <v>2.8832138100296945</v>
      </c>
      <c r="N238" s="13">
        <f t="shared" si="24"/>
        <v>8.3129218743459479</v>
      </c>
    </row>
    <row r="239" spans="1:14">
      <c r="A239" t="s">
        <v>7</v>
      </c>
      <c r="B239" t="s">
        <v>8</v>
      </c>
      <c r="C239" t="s">
        <v>21</v>
      </c>
      <c r="D239" t="s">
        <v>10</v>
      </c>
      <c r="E239">
        <v>4.67</v>
      </c>
      <c r="F239">
        <v>3</v>
      </c>
      <c r="G239">
        <v>35.83</v>
      </c>
      <c r="H239" s="2">
        <f t="shared" si="19"/>
        <v>1</v>
      </c>
      <c r="I239">
        <f t="shared" si="20"/>
        <v>0</v>
      </c>
      <c r="J239">
        <f t="shared" si="21"/>
        <v>3</v>
      </c>
      <c r="K239">
        <f t="shared" si="22"/>
        <v>1</v>
      </c>
      <c r="L239" s="13">
        <f>Sheet1!$B$17+(Sheet1!$B$18*tips!F239)+(Sheet1!$B$19*tips!G239)+(Sheet1!$B$20*tips!H239)+(Sheet1!$B$21*tips!I239)+(Sheet1!$B$22*tips!J239)+(Sheet1!$B$23*tips!K239)</f>
        <v>4.6204455819553347</v>
      </c>
      <c r="M239" s="13">
        <f t="shared" si="23"/>
        <v>-4.9554418044665205E-2</v>
      </c>
      <c r="N239" s="13">
        <f t="shared" si="24"/>
        <v>2.4556403477454403E-3</v>
      </c>
    </row>
    <row r="240" spans="1:14">
      <c r="A240" t="s">
        <v>11</v>
      </c>
      <c r="B240" t="s">
        <v>8</v>
      </c>
      <c r="C240" t="s">
        <v>21</v>
      </c>
      <c r="D240" t="s">
        <v>10</v>
      </c>
      <c r="E240">
        <v>5.92</v>
      </c>
      <c r="F240">
        <v>3</v>
      </c>
      <c r="G240">
        <v>29.03</v>
      </c>
      <c r="H240" s="2">
        <f t="shared" si="19"/>
        <v>0</v>
      </c>
      <c r="I240">
        <f t="shared" si="20"/>
        <v>0</v>
      </c>
      <c r="J240">
        <f t="shared" si="21"/>
        <v>3</v>
      </c>
      <c r="K240">
        <f t="shared" si="22"/>
        <v>1</v>
      </c>
      <c r="L240" s="13">
        <f>Sheet1!$B$17+(Sheet1!$B$18*tips!F240)+(Sheet1!$B$19*tips!G240)+(Sheet1!$B$20*tips!H240)+(Sheet1!$B$21*tips!I240)+(Sheet1!$B$22*tips!J240)+(Sheet1!$B$23*tips!K240)</f>
        <v>3.9428211406583529</v>
      </c>
      <c r="M240" s="13">
        <f t="shared" si="23"/>
        <v>-1.9771788593416471</v>
      </c>
      <c r="N240" s="13">
        <f t="shared" si="24"/>
        <v>3.9092362418275366</v>
      </c>
    </row>
    <row r="241" spans="1:14">
      <c r="A241" t="s">
        <v>7</v>
      </c>
      <c r="B241" t="s">
        <v>22</v>
      </c>
      <c r="C241" t="s">
        <v>21</v>
      </c>
      <c r="D241" t="s">
        <v>10</v>
      </c>
      <c r="E241">
        <v>2</v>
      </c>
      <c r="F241">
        <v>2</v>
      </c>
      <c r="G241">
        <v>27.18</v>
      </c>
      <c r="H241" s="2">
        <f t="shared" si="19"/>
        <v>1</v>
      </c>
      <c r="I241">
        <f t="shared" si="20"/>
        <v>1</v>
      </c>
      <c r="J241">
        <f t="shared" si="21"/>
        <v>3</v>
      </c>
      <c r="K241">
        <f t="shared" si="22"/>
        <v>1</v>
      </c>
      <c r="L241" s="13">
        <f>Sheet1!$B$17+(Sheet1!$B$18*tips!F241)+(Sheet1!$B$19*tips!G241)+(Sheet1!$B$20*tips!H241)+(Sheet1!$B$21*tips!I241)+(Sheet1!$B$22*tips!J241)+(Sheet1!$B$23*tips!K241)</f>
        <v>3.5572574446640131</v>
      </c>
      <c r="M241" s="13">
        <f t="shared" si="23"/>
        <v>1.5572574446640131</v>
      </c>
      <c r="N241" s="13">
        <f t="shared" si="24"/>
        <v>2.4250507489614916</v>
      </c>
    </row>
    <row r="242" spans="1:14">
      <c r="A242" t="s">
        <v>11</v>
      </c>
      <c r="B242" t="s">
        <v>22</v>
      </c>
      <c r="C242" t="s">
        <v>21</v>
      </c>
      <c r="D242" t="s">
        <v>10</v>
      </c>
      <c r="E242">
        <v>2</v>
      </c>
      <c r="F242">
        <v>2</v>
      </c>
      <c r="G242">
        <v>22.67</v>
      </c>
      <c r="H242" s="2">
        <f t="shared" si="19"/>
        <v>0</v>
      </c>
      <c r="I242">
        <f t="shared" si="20"/>
        <v>1</v>
      </c>
      <c r="J242">
        <f t="shared" si="21"/>
        <v>3</v>
      </c>
      <c r="K242">
        <f t="shared" si="22"/>
        <v>1</v>
      </c>
      <c r="L242" s="13">
        <f>Sheet1!$B$17+(Sheet1!$B$18*tips!F242)+(Sheet1!$B$19*tips!G242)+(Sheet1!$B$20*tips!H242)+(Sheet1!$B$21*tips!I242)+(Sheet1!$B$22*tips!J242)+(Sheet1!$B$23*tips!K242)</f>
        <v>3.0954964609780746</v>
      </c>
      <c r="M242" s="13">
        <f t="shared" si="23"/>
        <v>1.0954964609780746</v>
      </c>
      <c r="N242" s="13">
        <f t="shared" si="24"/>
        <v>1.2001124960154861</v>
      </c>
    </row>
    <row r="243" spans="1:14">
      <c r="A243" t="s">
        <v>11</v>
      </c>
      <c r="B243" t="s">
        <v>8</v>
      </c>
      <c r="C243" t="s">
        <v>21</v>
      </c>
      <c r="D243" t="s">
        <v>10</v>
      </c>
      <c r="E243">
        <v>1.75</v>
      </c>
      <c r="F243">
        <v>2</v>
      </c>
      <c r="G243">
        <v>17.82</v>
      </c>
      <c r="H243" s="2">
        <f t="shared" si="19"/>
        <v>0</v>
      </c>
      <c r="I243">
        <f t="shared" si="20"/>
        <v>0</v>
      </c>
      <c r="J243">
        <f t="shared" si="21"/>
        <v>3</v>
      </c>
      <c r="K243">
        <f t="shared" si="22"/>
        <v>1</v>
      </c>
      <c r="L243" s="13">
        <f>Sheet1!$B$17+(Sheet1!$B$18*tips!F243)+(Sheet1!$B$19*tips!G243)+(Sheet1!$B$20*tips!H243)+(Sheet1!$B$21*tips!I243)+(Sheet1!$B$22*tips!J243)+(Sheet1!$B$23*tips!K243)</f>
        <v>2.7111627265219096</v>
      </c>
      <c r="M243" s="13">
        <f t="shared" si="23"/>
        <v>0.96116272652190959</v>
      </c>
      <c r="N243" s="13">
        <f t="shared" si="24"/>
        <v>0.92383378685503115</v>
      </c>
    </row>
    <row r="244" spans="1:14">
      <c r="A244" t="s">
        <v>7</v>
      </c>
      <c r="B244" t="s">
        <v>8</v>
      </c>
      <c r="C244" t="s">
        <v>23</v>
      </c>
      <c r="D244" t="s">
        <v>10</v>
      </c>
      <c r="E244">
        <v>3</v>
      </c>
      <c r="F244">
        <v>2</v>
      </c>
      <c r="G244">
        <v>18.78</v>
      </c>
      <c r="H244" s="2">
        <f t="shared" si="19"/>
        <v>1</v>
      </c>
      <c r="I244">
        <f t="shared" si="20"/>
        <v>0</v>
      </c>
      <c r="J244">
        <f t="shared" si="21"/>
        <v>1</v>
      </c>
      <c r="K244">
        <f t="shared" si="22"/>
        <v>1</v>
      </c>
      <c r="L244" s="13">
        <f>Sheet1!$B$17+(Sheet1!$B$18*tips!F244)+(Sheet1!$B$19*tips!G244)+(Sheet1!$B$20*tips!H244)+(Sheet1!$B$21*tips!I244)+(Sheet1!$B$22*tips!J244)+(Sheet1!$B$23*tips!K244)</f>
        <v>2.7322776091855547</v>
      </c>
      <c r="M244" s="13">
        <f t="shared" si="23"/>
        <v>-0.26772239081444527</v>
      </c>
      <c r="N244" s="13">
        <f t="shared" si="24"/>
        <v>7.1675278543402568E-2</v>
      </c>
    </row>
    <row r="249" spans="1:14">
      <c r="B249" s="17" t="s">
        <v>65</v>
      </c>
    </row>
  </sheetData>
  <autoFilter ref="A1:G244" xr:uid="{8E47EB0B-904D-4A32-AC49-EEE4C902527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tips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Balaji Venkateswaran</dc:creator>
  <cp:keywords/>
  <dc:description/>
  <cp:lastModifiedBy>Karabo Ramalatso</cp:lastModifiedBy>
  <cp:revision/>
  <dcterms:created xsi:type="dcterms:W3CDTF">2021-10-26T16:10:41Z</dcterms:created>
  <dcterms:modified xsi:type="dcterms:W3CDTF">2026-04-16T13:43:11Z</dcterms:modified>
  <cp:category/>
  <cp:contentStatus/>
</cp:coreProperties>
</file>